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xr:revisionPtr revIDLastSave="0" documentId="13_ncr:1_{D4ACD257-6C85-4F53-B9AB-FBDD6272375D}" xr6:coauthVersionLast="47" xr6:coauthVersionMax="47" xr10:uidLastSave="{00000000-0000-0000-0000-000000000000}"/>
  <bookViews>
    <workbookView xWindow="-120" yWindow="-120" windowWidth="20730" windowHeight="11160" xr2:uid="{77BFE23E-9715-4A8A-9DB9-9490D872E1F6}"/>
  </bookViews>
  <sheets>
    <sheet name="Lançamento Diário" sheetId="1" r:id="rId1"/>
    <sheet name="Metas" sheetId="8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8" l="1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B215" i="1"/>
  <c r="B216" i="1"/>
  <c r="E215" i="1"/>
  <c r="E216" i="1"/>
  <c r="F215" i="1"/>
  <c r="F216" i="1"/>
  <c r="G215" i="1"/>
  <c r="G216" i="1"/>
  <c r="A2" i="8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B9" i="1" l="1"/>
  <c r="E9" i="1"/>
  <c r="F9" i="1"/>
  <c r="G9" i="1"/>
  <c r="B10" i="1"/>
  <c r="E10" i="1"/>
  <c r="F10" i="1"/>
  <c r="G10" i="1"/>
  <c r="B11" i="1"/>
  <c r="E11" i="1"/>
  <c r="F11" i="1"/>
  <c r="G11" i="1"/>
  <c r="B12" i="1"/>
  <c r="E12" i="1"/>
  <c r="F12" i="1"/>
  <c r="G12" i="1"/>
  <c r="B13" i="1"/>
  <c r="E13" i="1"/>
  <c r="F13" i="1"/>
  <c r="G13" i="1"/>
  <c r="B14" i="1"/>
  <c r="E14" i="1"/>
  <c r="F14" i="1"/>
  <c r="G14" i="1"/>
  <c r="B15" i="1"/>
  <c r="E15" i="1"/>
  <c r="F15" i="1"/>
  <c r="G15" i="1"/>
  <c r="B16" i="1"/>
  <c r="E16" i="1"/>
  <c r="F16" i="1"/>
  <c r="G16" i="1"/>
  <c r="B17" i="1"/>
  <c r="E17" i="1"/>
  <c r="F17" i="1"/>
  <c r="G17" i="1"/>
  <c r="B18" i="1"/>
  <c r="E18" i="1"/>
  <c r="F18" i="1"/>
  <c r="G18" i="1"/>
  <c r="B19" i="1"/>
  <c r="E19" i="1"/>
  <c r="F19" i="1"/>
  <c r="G19" i="1"/>
  <c r="B20" i="1"/>
  <c r="E20" i="1"/>
  <c r="F20" i="1"/>
  <c r="G20" i="1"/>
  <c r="B21" i="1"/>
  <c r="E21" i="1"/>
  <c r="F21" i="1"/>
  <c r="G21" i="1"/>
  <c r="B22" i="1"/>
  <c r="E22" i="1"/>
  <c r="F22" i="1"/>
  <c r="G22" i="1"/>
  <c r="B23" i="1"/>
  <c r="E23" i="1"/>
  <c r="F23" i="1"/>
  <c r="G23" i="1"/>
  <c r="B24" i="1"/>
  <c r="E24" i="1"/>
  <c r="F24" i="1"/>
  <c r="G24" i="1"/>
  <c r="B25" i="1"/>
  <c r="E25" i="1"/>
  <c r="F25" i="1"/>
  <c r="G25" i="1"/>
  <c r="B26" i="1"/>
  <c r="E26" i="1"/>
  <c r="F26" i="1"/>
  <c r="G26" i="1"/>
  <c r="B27" i="1"/>
  <c r="E27" i="1"/>
  <c r="F27" i="1"/>
  <c r="G27" i="1"/>
  <c r="B28" i="1"/>
  <c r="E28" i="1"/>
  <c r="F28" i="1"/>
  <c r="G28" i="1"/>
  <c r="B29" i="1"/>
  <c r="E29" i="1"/>
  <c r="F29" i="1"/>
  <c r="G29" i="1"/>
  <c r="B30" i="1"/>
  <c r="E30" i="1"/>
  <c r="F30" i="1"/>
  <c r="G30" i="1"/>
  <c r="B31" i="1"/>
  <c r="E31" i="1"/>
  <c r="F31" i="1"/>
  <c r="G31" i="1"/>
  <c r="B32" i="1"/>
  <c r="E32" i="1"/>
  <c r="F32" i="1"/>
  <c r="G32" i="1"/>
  <c r="B33" i="1"/>
  <c r="E33" i="1"/>
  <c r="F33" i="1"/>
  <c r="G33" i="1"/>
  <c r="B34" i="1"/>
  <c r="E34" i="1"/>
  <c r="F34" i="1"/>
  <c r="G34" i="1"/>
  <c r="B35" i="1"/>
  <c r="E35" i="1"/>
  <c r="F35" i="1"/>
  <c r="G35" i="1"/>
  <c r="B36" i="1"/>
  <c r="E36" i="1"/>
  <c r="F36" i="1"/>
  <c r="G36" i="1"/>
  <c r="B37" i="1"/>
  <c r="E37" i="1"/>
  <c r="F37" i="1"/>
  <c r="G37" i="1"/>
  <c r="B38" i="1"/>
  <c r="E38" i="1"/>
  <c r="F38" i="1"/>
  <c r="G38" i="1"/>
  <c r="B39" i="1"/>
  <c r="E39" i="1"/>
  <c r="F39" i="1"/>
  <c r="G39" i="1"/>
  <c r="B40" i="1"/>
  <c r="E40" i="1"/>
  <c r="F40" i="1"/>
  <c r="G40" i="1"/>
  <c r="B41" i="1"/>
  <c r="E41" i="1"/>
  <c r="F41" i="1"/>
  <c r="G41" i="1"/>
  <c r="B42" i="1"/>
  <c r="E42" i="1"/>
  <c r="F42" i="1"/>
  <c r="G42" i="1"/>
  <c r="B43" i="1"/>
  <c r="E43" i="1"/>
  <c r="F43" i="1"/>
  <c r="G43" i="1"/>
  <c r="B44" i="1"/>
  <c r="E44" i="1"/>
  <c r="F44" i="1"/>
  <c r="G44" i="1"/>
  <c r="B45" i="1"/>
  <c r="E45" i="1"/>
  <c r="F45" i="1"/>
  <c r="G45" i="1"/>
  <c r="B46" i="1"/>
  <c r="E46" i="1"/>
  <c r="F46" i="1"/>
  <c r="G46" i="1"/>
  <c r="B47" i="1"/>
  <c r="E47" i="1"/>
  <c r="F47" i="1"/>
  <c r="G47" i="1"/>
  <c r="B48" i="1"/>
  <c r="E48" i="1"/>
  <c r="F48" i="1"/>
  <c r="G48" i="1"/>
  <c r="B49" i="1"/>
  <c r="E49" i="1"/>
  <c r="F49" i="1"/>
  <c r="G49" i="1"/>
  <c r="B50" i="1"/>
  <c r="E50" i="1"/>
  <c r="F50" i="1"/>
  <c r="G50" i="1"/>
  <c r="B51" i="1"/>
  <c r="E51" i="1"/>
  <c r="F51" i="1"/>
  <c r="G51" i="1"/>
  <c r="B52" i="1"/>
  <c r="E52" i="1"/>
  <c r="F52" i="1"/>
  <c r="G52" i="1"/>
  <c r="B53" i="1"/>
  <c r="E53" i="1"/>
  <c r="F53" i="1"/>
  <c r="G53" i="1"/>
  <c r="B54" i="1"/>
  <c r="E54" i="1"/>
  <c r="F54" i="1"/>
  <c r="G54" i="1"/>
  <c r="B55" i="1"/>
  <c r="E55" i="1"/>
  <c r="F55" i="1"/>
  <c r="G55" i="1"/>
  <c r="B56" i="1"/>
  <c r="E56" i="1"/>
  <c r="F56" i="1"/>
  <c r="G56" i="1"/>
  <c r="B57" i="1"/>
  <c r="E57" i="1"/>
  <c r="F57" i="1"/>
  <c r="G57" i="1"/>
  <c r="B58" i="1"/>
  <c r="E58" i="1"/>
  <c r="F58" i="1"/>
  <c r="G58" i="1"/>
  <c r="B59" i="1"/>
  <c r="E59" i="1"/>
  <c r="F59" i="1"/>
  <c r="G59" i="1"/>
  <c r="B60" i="1"/>
  <c r="E60" i="1"/>
  <c r="F60" i="1"/>
  <c r="G60" i="1"/>
  <c r="B61" i="1"/>
  <c r="E61" i="1"/>
  <c r="F61" i="1"/>
  <c r="G61" i="1"/>
  <c r="B62" i="1"/>
  <c r="E62" i="1"/>
  <c r="F62" i="1"/>
  <c r="G62" i="1"/>
  <c r="B63" i="1"/>
  <c r="E63" i="1"/>
  <c r="F63" i="1"/>
  <c r="G63" i="1"/>
  <c r="B64" i="1"/>
  <c r="E64" i="1"/>
  <c r="F64" i="1"/>
  <c r="G64" i="1"/>
  <c r="B65" i="1"/>
  <c r="E65" i="1"/>
  <c r="F65" i="1"/>
  <c r="G65" i="1"/>
  <c r="B66" i="1"/>
  <c r="E66" i="1"/>
  <c r="F66" i="1"/>
  <c r="G66" i="1"/>
  <c r="B67" i="1"/>
  <c r="E67" i="1"/>
  <c r="F67" i="1"/>
  <c r="G67" i="1"/>
  <c r="B68" i="1"/>
  <c r="E68" i="1"/>
  <c r="F68" i="1"/>
  <c r="G68" i="1"/>
  <c r="B69" i="1"/>
  <c r="E69" i="1"/>
  <c r="F69" i="1"/>
  <c r="G69" i="1"/>
  <c r="B70" i="1"/>
  <c r="E70" i="1"/>
  <c r="F70" i="1"/>
  <c r="G70" i="1"/>
  <c r="B71" i="1"/>
  <c r="E71" i="1"/>
  <c r="F71" i="1"/>
  <c r="G71" i="1"/>
  <c r="B72" i="1"/>
  <c r="E72" i="1"/>
  <c r="F72" i="1"/>
  <c r="G72" i="1"/>
  <c r="B73" i="1"/>
  <c r="E73" i="1"/>
  <c r="F73" i="1"/>
  <c r="G73" i="1"/>
  <c r="B74" i="1"/>
  <c r="E74" i="1"/>
  <c r="F74" i="1"/>
  <c r="G74" i="1"/>
  <c r="B75" i="1"/>
  <c r="E75" i="1"/>
  <c r="F75" i="1"/>
  <c r="G75" i="1"/>
  <c r="B76" i="1"/>
  <c r="E76" i="1"/>
  <c r="F76" i="1"/>
  <c r="G76" i="1"/>
  <c r="B77" i="1"/>
  <c r="E77" i="1"/>
  <c r="F77" i="1"/>
  <c r="G77" i="1"/>
  <c r="B78" i="1"/>
  <c r="E78" i="1"/>
  <c r="F78" i="1"/>
  <c r="G78" i="1"/>
  <c r="B79" i="1"/>
  <c r="E79" i="1"/>
  <c r="F79" i="1"/>
  <c r="G79" i="1"/>
  <c r="B80" i="1"/>
  <c r="E80" i="1"/>
  <c r="F80" i="1"/>
  <c r="G80" i="1"/>
  <c r="B81" i="1"/>
  <c r="E81" i="1"/>
  <c r="F81" i="1"/>
  <c r="G81" i="1"/>
  <c r="B82" i="1"/>
  <c r="E82" i="1"/>
  <c r="F82" i="1"/>
  <c r="G82" i="1"/>
  <c r="B83" i="1"/>
  <c r="E83" i="1"/>
  <c r="F83" i="1"/>
  <c r="G83" i="1"/>
  <c r="B84" i="1"/>
  <c r="E84" i="1"/>
  <c r="F84" i="1"/>
  <c r="G84" i="1"/>
  <c r="B85" i="1"/>
  <c r="E85" i="1"/>
  <c r="F85" i="1"/>
  <c r="G85" i="1"/>
  <c r="B86" i="1"/>
  <c r="E86" i="1"/>
  <c r="F86" i="1"/>
  <c r="G86" i="1"/>
  <c r="B87" i="1"/>
  <c r="E87" i="1"/>
  <c r="F87" i="1"/>
  <c r="G87" i="1"/>
  <c r="B88" i="1"/>
  <c r="E88" i="1"/>
  <c r="F88" i="1"/>
  <c r="G88" i="1"/>
  <c r="B89" i="1"/>
  <c r="E89" i="1"/>
  <c r="F89" i="1"/>
  <c r="G89" i="1"/>
  <c r="B90" i="1"/>
  <c r="E90" i="1"/>
  <c r="F90" i="1"/>
  <c r="G90" i="1"/>
  <c r="B91" i="1"/>
  <c r="E91" i="1"/>
  <c r="F91" i="1"/>
  <c r="G91" i="1"/>
  <c r="B92" i="1"/>
  <c r="E92" i="1"/>
  <c r="F92" i="1"/>
  <c r="G92" i="1"/>
  <c r="B93" i="1"/>
  <c r="E93" i="1"/>
  <c r="F93" i="1"/>
  <c r="G93" i="1"/>
  <c r="B94" i="1"/>
  <c r="E94" i="1"/>
  <c r="F94" i="1"/>
  <c r="G94" i="1"/>
  <c r="B95" i="1"/>
  <c r="E95" i="1"/>
  <c r="F95" i="1"/>
  <c r="G95" i="1"/>
  <c r="B96" i="1"/>
  <c r="E96" i="1"/>
  <c r="F96" i="1"/>
  <c r="G96" i="1"/>
  <c r="B97" i="1"/>
  <c r="E97" i="1"/>
  <c r="F97" i="1"/>
  <c r="G97" i="1"/>
  <c r="B98" i="1"/>
  <c r="E98" i="1"/>
  <c r="F98" i="1"/>
  <c r="G98" i="1"/>
  <c r="B99" i="1"/>
  <c r="E99" i="1"/>
  <c r="F99" i="1"/>
  <c r="G99" i="1"/>
  <c r="B100" i="1"/>
  <c r="E100" i="1"/>
  <c r="F100" i="1"/>
  <c r="G100" i="1"/>
  <c r="B101" i="1"/>
  <c r="E101" i="1"/>
  <c r="F101" i="1"/>
  <c r="G101" i="1"/>
  <c r="B102" i="1"/>
  <c r="E102" i="1"/>
  <c r="F102" i="1"/>
  <c r="G102" i="1"/>
  <c r="B103" i="1"/>
  <c r="E103" i="1"/>
  <c r="F103" i="1"/>
  <c r="G103" i="1"/>
  <c r="B104" i="1"/>
  <c r="E104" i="1"/>
  <c r="F104" i="1"/>
  <c r="G104" i="1"/>
  <c r="B105" i="1"/>
  <c r="E105" i="1"/>
  <c r="F105" i="1"/>
  <c r="G105" i="1"/>
  <c r="B106" i="1"/>
  <c r="E106" i="1"/>
  <c r="F106" i="1"/>
  <c r="G106" i="1"/>
  <c r="B107" i="1"/>
  <c r="E107" i="1"/>
  <c r="F107" i="1"/>
  <c r="G107" i="1"/>
  <c r="B108" i="1"/>
  <c r="E108" i="1"/>
  <c r="F108" i="1"/>
  <c r="G108" i="1"/>
  <c r="B109" i="1"/>
  <c r="E109" i="1"/>
  <c r="F109" i="1"/>
  <c r="G109" i="1"/>
  <c r="B110" i="1"/>
  <c r="E110" i="1"/>
  <c r="F110" i="1"/>
  <c r="G110" i="1"/>
  <c r="B111" i="1"/>
  <c r="E111" i="1"/>
  <c r="F111" i="1"/>
  <c r="G111" i="1"/>
  <c r="B112" i="1"/>
  <c r="E112" i="1"/>
  <c r="F112" i="1"/>
  <c r="G112" i="1"/>
  <c r="B113" i="1"/>
  <c r="E113" i="1"/>
  <c r="F113" i="1"/>
  <c r="G113" i="1"/>
  <c r="B114" i="1"/>
  <c r="E114" i="1"/>
  <c r="F114" i="1"/>
  <c r="G114" i="1"/>
  <c r="B115" i="1"/>
  <c r="E115" i="1"/>
  <c r="F115" i="1"/>
  <c r="G115" i="1"/>
  <c r="B116" i="1"/>
  <c r="E116" i="1"/>
  <c r="F116" i="1"/>
  <c r="G116" i="1"/>
  <c r="B117" i="1"/>
  <c r="E117" i="1"/>
  <c r="F117" i="1"/>
  <c r="G117" i="1"/>
  <c r="B118" i="1"/>
  <c r="E118" i="1"/>
  <c r="F118" i="1"/>
  <c r="G118" i="1"/>
  <c r="B119" i="1"/>
  <c r="E119" i="1"/>
  <c r="F119" i="1"/>
  <c r="G119" i="1"/>
  <c r="B120" i="1"/>
  <c r="E120" i="1"/>
  <c r="F120" i="1"/>
  <c r="G120" i="1"/>
  <c r="B121" i="1"/>
  <c r="E121" i="1"/>
  <c r="F121" i="1"/>
  <c r="G121" i="1"/>
  <c r="B122" i="1"/>
  <c r="E122" i="1"/>
  <c r="F122" i="1"/>
  <c r="G122" i="1"/>
  <c r="B123" i="1"/>
  <c r="E123" i="1"/>
  <c r="F123" i="1"/>
  <c r="G123" i="1"/>
  <c r="B124" i="1"/>
  <c r="E124" i="1"/>
  <c r="F124" i="1"/>
  <c r="G124" i="1"/>
  <c r="B125" i="1"/>
  <c r="E125" i="1"/>
  <c r="F125" i="1"/>
  <c r="G125" i="1"/>
  <c r="B126" i="1"/>
  <c r="E126" i="1"/>
  <c r="F126" i="1"/>
  <c r="G126" i="1"/>
  <c r="B127" i="1"/>
  <c r="E127" i="1"/>
  <c r="F127" i="1"/>
  <c r="G127" i="1"/>
  <c r="B128" i="1"/>
  <c r="E128" i="1"/>
  <c r="F128" i="1"/>
  <c r="G128" i="1"/>
  <c r="B129" i="1"/>
  <c r="E129" i="1"/>
  <c r="F129" i="1"/>
  <c r="G129" i="1"/>
  <c r="B130" i="1"/>
  <c r="E130" i="1"/>
  <c r="F130" i="1"/>
  <c r="G130" i="1"/>
  <c r="B131" i="1"/>
  <c r="E131" i="1"/>
  <c r="F131" i="1"/>
  <c r="G131" i="1"/>
  <c r="B132" i="1"/>
  <c r="E132" i="1"/>
  <c r="F132" i="1"/>
  <c r="G132" i="1"/>
  <c r="B133" i="1"/>
  <c r="E133" i="1"/>
  <c r="F133" i="1"/>
  <c r="G133" i="1"/>
  <c r="B134" i="1"/>
  <c r="E134" i="1"/>
  <c r="F134" i="1"/>
  <c r="G134" i="1"/>
  <c r="B135" i="1"/>
  <c r="E135" i="1"/>
  <c r="F135" i="1"/>
  <c r="G135" i="1"/>
  <c r="B136" i="1"/>
  <c r="E136" i="1"/>
  <c r="F136" i="1"/>
  <c r="G136" i="1"/>
  <c r="B137" i="1"/>
  <c r="E137" i="1"/>
  <c r="F137" i="1"/>
  <c r="G137" i="1"/>
  <c r="B138" i="1"/>
  <c r="E138" i="1"/>
  <c r="F138" i="1"/>
  <c r="G138" i="1"/>
  <c r="B139" i="1"/>
  <c r="E139" i="1"/>
  <c r="F139" i="1"/>
  <c r="G139" i="1"/>
  <c r="B140" i="1"/>
  <c r="E140" i="1"/>
  <c r="F140" i="1"/>
  <c r="G140" i="1"/>
  <c r="B141" i="1"/>
  <c r="E141" i="1"/>
  <c r="F141" i="1"/>
  <c r="G141" i="1"/>
  <c r="B142" i="1"/>
  <c r="E142" i="1"/>
  <c r="F142" i="1"/>
  <c r="G142" i="1"/>
  <c r="B143" i="1"/>
  <c r="E143" i="1"/>
  <c r="F143" i="1"/>
  <c r="G143" i="1"/>
  <c r="B144" i="1"/>
  <c r="E144" i="1"/>
  <c r="F144" i="1"/>
  <c r="G144" i="1"/>
  <c r="B145" i="1"/>
  <c r="E145" i="1"/>
  <c r="F145" i="1"/>
  <c r="G145" i="1"/>
  <c r="B146" i="1"/>
  <c r="E146" i="1"/>
  <c r="F146" i="1"/>
  <c r="G146" i="1"/>
  <c r="B147" i="1"/>
  <c r="E147" i="1"/>
  <c r="F147" i="1"/>
  <c r="G147" i="1"/>
  <c r="B148" i="1"/>
  <c r="E148" i="1"/>
  <c r="F148" i="1"/>
  <c r="G148" i="1"/>
  <c r="B149" i="1"/>
  <c r="E149" i="1"/>
  <c r="F149" i="1"/>
  <c r="G149" i="1"/>
  <c r="B150" i="1"/>
  <c r="E150" i="1"/>
  <c r="F150" i="1"/>
  <c r="G150" i="1"/>
  <c r="B151" i="1"/>
  <c r="E151" i="1"/>
  <c r="F151" i="1"/>
  <c r="G151" i="1"/>
  <c r="B152" i="1"/>
  <c r="E152" i="1"/>
  <c r="F152" i="1"/>
  <c r="G152" i="1"/>
  <c r="B153" i="1"/>
  <c r="F153" i="1"/>
  <c r="G153" i="1"/>
  <c r="B154" i="1"/>
  <c r="F154" i="1"/>
  <c r="G154" i="1"/>
  <c r="B155" i="1"/>
  <c r="F155" i="1"/>
  <c r="G155" i="1"/>
  <c r="B156" i="1"/>
  <c r="F156" i="1"/>
  <c r="G156" i="1"/>
  <c r="B157" i="1"/>
  <c r="F157" i="1"/>
  <c r="G157" i="1"/>
  <c r="B158" i="1"/>
  <c r="F158" i="1"/>
  <c r="G158" i="1"/>
  <c r="B159" i="1"/>
  <c r="F159" i="1"/>
  <c r="G159" i="1"/>
  <c r="B160" i="1"/>
  <c r="F160" i="1"/>
  <c r="G160" i="1"/>
  <c r="B161" i="1"/>
  <c r="F161" i="1"/>
  <c r="G161" i="1"/>
  <c r="B162" i="1"/>
  <c r="F162" i="1"/>
  <c r="G162" i="1"/>
  <c r="B163" i="1"/>
  <c r="F163" i="1"/>
  <c r="G163" i="1"/>
  <c r="B164" i="1"/>
  <c r="F164" i="1"/>
  <c r="G164" i="1"/>
  <c r="B165" i="1"/>
  <c r="F165" i="1"/>
  <c r="G165" i="1"/>
  <c r="B166" i="1"/>
  <c r="F166" i="1"/>
  <c r="G166" i="1"/>
  <c r="B167" i="1"/>
  <c r="F167" i="1"/>
  <c r="G167" i="1"/>
  <c r="B168" i="1"/>
  <c r="F168" i="1"/>
  <c r="G168" i="1"/>
  <c r="B169" i="1"/>
  <c r="F169" i="1"/>
  <c r="G169" i="1"/>
  <c r="B170" i="1"/>
  <c r="F170" i="1"/>
  <c r="G170" i="1"/>
  <c r="B171" i="1"/>
  <c r="F171" i="1"/>
  <c r="G171" i="1"/>
  <c r="B172" i="1"/>
  <c r="F172" i="1"/>
  <c r="G172" i="1"/>
  <c r="B173" i="1"/>
  <c r="F173" i="1"/>
  <c r="G173" i="1"/>
  <c r="B174" i="1"/>
  <c r="F174" i="1"/>
  <c r="G174" i="1"/>
  <c r="B175" i="1"/>
  <c r="F175" i="1"/>
  <c r="G175" i="1"/>
  <c r="B176" i="1"/>
  <c r="F176" i="1"/>
  <c r="G176" i="1"/>
  <c r="B177" i="1"/>
  <c r="F177" i="1"/>
  <c r="G177" i="1"/>
  <c r="B178" i="1"/>
  <c r="F178" i="1"/>
  <c r="G178" i="1"/>
  <c r="B179" i="1"/>
  <c r="F179" i="1"/>
  <c r="G179" i="1"/>
  <c r="B2" i="1"/>
  <c r="E2" i="1"/>
  <c r="F2" i="1"/>
  <c r="G2" i="1"/>
  <c r="H215" i="1" s="1"/>
  <c r="B3" i="1"/>
  <c r="E3" i="1"/>
  <c r="F3" i="1"/>
  <c r="G3" i="1"/>
  <c r="H3" i="1" s="1"/>
  <c r="B4" i="1"/>
  <c r="E4" i="1"/>
  <c r="F4" i="1"/>
  <c r="G4" i="1"/>
  <c r="H4" i="1" s="1"/>
  <c r="B5" i="1"/>
  <c r="E5" i="1"/>
  <c r="F5" i="1"/>
  <c r="G5" i="1"/>
  <c r="H5" i="1" s="1"/>
  <c r="B6" i="1"/>
  <c r="E6" i="1"/>
  <c r="F6" i="1"/>
  <c r="G6" i="1"/>
  <c r="H6" i="1" s="1"/>
  <c r="B7" i="1"/>
  <c r="E7" i="1"/>
  <c r="F7" i="1"/>
  <c r="G7" i="1"/>
  <c r="H7" i="1" s="1"/>
  <c r="B8" i="1"/>
  <c r="E8" i="1"/>
  <c r="F8" i="1"/>
  <c r="G8" i="1"/>
  <c r="H8" i="1" s="1"/>
  <c r="B180" i="1"/>
  <c r="F180" i="1"/>
  <c r="G180" i="1"/>
  <c r="B181" i="1"/>
  <c r="F181" i="1"/>
  <c r="G181" i="1"/>
  <c r="B182" i="1"/>
  <c r="F182" i="1"/>
  <c r="G182" i="1"/>
  <c r="B183" i="1"/>
  <c r="F183" i="1"/>
  <c r="G183" i="1"/>
  <c r="H183" i="1" s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G184" i="1"/>
  <c r="F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184" i="1"/>
  <c r="H219" i="1" l="1"/>
  <c r="H239" i="1"/>
  <c r="H259" i="1"/>
  <c r="H287" i="1"/>
  <c r="H315" i="1"/>
  <c r="H220" i="1"/>
  <c r="H236" i="1"/>
  <c r="H252" i="1"/>
  <c r="H268" i="1"/>
  <c r="H284" i="1"/>
  <c r="H217" i="1"/>
  <c r="H233" i="1"/>
  <c r="H249" i="1"/>
  <c r="H265" i="1"/>
  <c r="H281" i="1"/>
  <c r="H297" i="1"/>
  <c r="H223" i="1"/>
  <c r="H283" i="1"/>
  <c r="H319" i="1"/>
  <c r="H313" i="1"/>
  <c r="H329" i="1"/>
  <c r="H345" i="1"/>
  <c r="H361" i="1"/>
  <c r="H377" i="1"/>
  <c r="H393" i="1"/>
  <c r="H409" i="1"/>
  <c r="H425" i="1"/>
  <c r="H441" i="1"/>
  <c r="H457" i="1"/>
  <c r="H473" i="1"/>
  <c r="H489" i="1"/>
  <c r="H505" i="1"/>
  <c r="H521" i="1"/>
  <c r="H537" i="1"/>
  <c r="H553" i="1"/>
  <c r="H569" i="1"/>
  <c r="H585" i="1"/>
  <c r="H601" i="1"/>
  <c r="H617" i="1"/>
  <c r="H633" i="1"/>
  <c r="H669" i="1"/>
  <c r="H749" i="1"/>
  <c r="H230" i="1"/>
  <c r="H246" i="1"/>
  <c r="H262" i="1"/>
  <c r="H278" i="1"/>
  <c r="H294" i="1"/>
  <c r="H310" i="1"/>
  <c r="H326" i="1"/>
  <c r="H342" i="1"/>
  <c r="H358" i="1"/>
  <c r="H374" i="1"/>
  <c r="H390" i="1"/>
  <c r="H406" i="1"/>
  <c r="H422" i="1"/>
  <c r="H438" i="1"/>
  <c r="H454" i="1"/>
  <c r="H470" i="1"/>
  <c r="H486" i="1"/>
  <c r="H502" i="1"/>
  <c r="H518" i="1"/>
  <c r="H534" i="1"/>
  <c r="H550" i="1"/>
  <c r="H566" i="1"/>
  <c r="H582" i="1"/>
  <c r="H598" i="1"/>
  <c r="H614" i="1"/>
  <c r="H630" i="1"/>
  <c r="H646" i="1"/>
  <c r="H662" i="1"/>
  <c r="H678" i="1"/>
  <c r="H694" i="1"/>
  <c r="H710" i="1"/>
  <c r="H726" i="1"/>
  <c r="H742" i="1"/>
  <c r="H758" i="1"/>
  <c r="H615" i="1"/>
  <c r="H643" i="1"/>
  <c r="H667" i="1"/>
  <c r="H695" i="1"/>
  <c r="H719" i="1"/>
  <c r="H747" i="1"/>
  <c r="H657" i="1"/>
  <c r="H717" i="1"/>
  <c r="H347" i="1"/>
  <c r="H363" i="1"/>
  <c r="H379" i="1"/>
  <c r="H395" i="1"/>
  <c r="H411" i="1"/>
  <c r="H427" i="1"/>
  <c r="H443" i="1"/>
  <c r="H459" i="1"/>
  <c r="H475" i="1"/>
  <c r="H491" i="1"/>
  <c r="H507" i="1"/>
  <c r="H523" i="1"/>
  <c r="H539" i="1"/>
  <c r="H555" i="1"/>
  <c r="H571" i="1"/>
  <c r="H587" i="1"/>
  <c r="H611" i="1"/>
  <c r="H651" i="1"/>
  <c r="H687" i="1"/>
  <c r="H731" i="1"/>
  <c r="H693" i="1"/>
  <c r="H300" i="1"/>
  <c r="H316" i="1"/>
  <c r="H332" i="1"/>
  <c r="H348" i="1"/>
  <c r="H364" i="1"/>
  <c r="H380" i="1"/>
  <c r="H396" i="1"/>
  <c r="H412" i="1"/>
  <c r="H428" i="1"/>
  <c r="H444" i="1"/>
  <c r="H460" i="1"/>
  <c r="H476" i="1"/>
  <c r="H492" i="1"/>
  <c r="H508" i="1"/>
  <c r="H524" i="1"/>
  <c r="H540" i="1"/>
  <c r="H556" i="1"/>
  <c r="H572" i="1"/>
  <c r="H588" i="1"/>
  <c r="H604" i="1"/>
  <c r="H620" i="1"/>
  <c r="H636" i="1"/>
  <c r="H652" i="1"/>
  <c r="H668" i="1"/>
  <c r="H684" i="1"/>
  <c r="H700" i="1"/>
  <c r="H716" i="1"/>
  <c r="H732" i="1"/>
  <c r="H748" i="1"/>
  <c r="H645" i="1"/>
  <c r="H701" i="1"/>
  <c r="H757" i="1"/>
  <c r="H227" i="1"/>
  <c r="H243" i="1"/>
  <c r="H263" i="1"/>
  <c r="H295" i="1"/>
  <c r="H323" i="1"/>
  <c r="H224" i="1"/>
  <c r="H240" i="1"/>
  <c r="H256" i="1"/>
  <c r="H272" i="1"/>
  <c r="H288" i="1"/>
  <c r="H221" i="1"/>
  <c r="H237" i="1"/>
  <c r="H253" i="1"/>
  <c r="H269" i="1"/>
  <c r="H285" i="1"/>
  <c r="H301" i="1"/>
  <c r="H255" i="1"/>
  <c r="H291" i="1"/>
  <c r="H327" i="1"/>
  <c r="H317" i="1"/>
  <c r="H333" i="1"/>
  <c r="H349" i="1"/>
  <c r="H365" i="1"/>
  <c r="H381" i="1"/>
  <c r="H397" i="1"/>
  <c r="H413" i="1"/>
  <c r="H429" i="1"/>
  <c r="H445" i="1"/>
  <c r="H461" i="1"/>
  <c r="H477" i="1"/>
  <c r="H493" i="1"/>
  <c r="H509" i="1"/>
  <c r="H525" i="1"/>
  <c r="H541" i="1"/>
  <c r="H557" i="1"/>
  <c r="H573" i="1"/>
  <c r="H589" i="1"/>
  <c r="H605" i="1"/>
  <c r="H621" i="1"/>
  <c r="H637" i="1"/>
  <c r="H689" i="1"/>
  <c r="H218" i="1"/>
  <c r="H234" i="1"/>
  <c r="H250" i="1"/>
  <c r="H266" i="1"/>
  <c r="H282" i="1"/>
  <c r="H298" i="1"/>
  <c r="H314" i="1"/>
  <c r="H330" i="1"/>
  <c r="H346" i="1"/>
  <c r="H362" i="1"/>
  <c r="H378" i="1"/>
  <c r="H394" i="1"/>
  <c r="H410" i="1"/>
  <c r="H426" i="1"/>
  <c r="H442" i="1"/>
  <c r="H458" i="1"/>
  <c r="H474" i="1"/>
  <c r="H490" i="1"/>
  <c r="H506" i="1"/>
  <c r="H522" i="1"/>
  <c r="H538" i="1"/>
  <c r="H554" i="1"/>
  <c r="H570" i="1"/>
  <c r="H586" i="1"/>
  <c r="H602" i="1"/>
  <c r="H618" i="1"/>
  <c r="H634" i="1"/>
  <c r="H650" i="1"/>
  <c r="H666" i="1"/>
  <c r="H682" i="1"/>
  <c r="H698" i="1"/>
  <c r="H714" i="1"/>
  <c r="H730" i="1"/>
  <c r="H746" i="1"/>
  <c r="H762" i="1"/>
  <c r="H619" i="1"/>
  <c r="H647" i="1"/>
  <c r="H675" i="1"/>
  <c r="H703" i="1"/>
  <c r="H727" i="1"/>
  <c r="H751" i="1"/>
  <c r="H673" i="1"/>
  <c r="H725" i="1"/>
  <c r="H351" i="1"/>
  <c r="H367" i="1"/>
  <c r="H383" i="1"/>
  <c r="H399" i="1"/>
  <c r="H415" i="1"/>
  <c r="H431" i="1"/>
  <c r="H447" i="1"/>
  <c r="H463" i="1"/>
  <c r="H479" i="1"/>
  <c r="H495" i="1"/>
  <c r="H511" i="1"/>
  <c r="H527" i="1"/>
  <c r="H543" i="1"/>
  <c r="H559" i="1"/>
  <c r="H575" i="1"/>
  <c r="H591" i="1"/>
  <c r="H623" i="1"/>
  <c r="H659" i="1"/>
  <c r="H699" i="1"/>
  <c r="H743" i="1"/>
  <c r="H705" i="1"/>
  <c r="H304" i="1"/>
  <c r="H320" i="1"/>
  <c r="H336" i="1"/>
  <c r="H352" i="1"/>
  <c r="H368" i="1"/>
  <c r="H384" i="1"/>
  <c r="H400" i="1"/>
  <c r="H416" i="1"/>
  <c r="H432" i="1"/>
  <c r="H448" i="1"/>
  <c r="H464" i="1"/>
  <c r="H480" i="1"/>
  <c r="H496" i="1"/>
  <c r="H512" i="1"/>
  <c r="H528" i="1"/>
  <c r="H544" i="1"/>
  <c r="H560" i="1"/>
  <c r="H576" i="1"/>
  <c r="H592" i="1"/>
  <c r="H608" i="1"/>
  <c r="H624" i="1"/>
  <c r="H640" i="1"/>
  <c r="H656" i="1"/>
  <c r="H672" i="1"/>
  <c r="H688" i="1"/>
  <c r="H704" i="1"/>
  <c r="H720" i="1"/>
  <c r="H736" i="1"/>
  <c r="H752" i="1"/>
  <c r="H661" i="1"/>
  <c r="H713" i="1"/>
  <c r="H761" i="1"/>
  <c r="H214" i="1"/>
  <c r="H231" i="1"/>
  <c r="H247" i="1"/>
  <c r="H271" i="1"/>
  <c r="H303" i="1"/>
  <c r="H331" i="1"/>
  <c r="H228" i="1"/>
  <c r="H244" i="1"/>
  <c r="H260" i="1"/>
  <c r="H276" i="1"/>
  <c r="H292" i="1"/>
  <c r="H225" i="1"/>
  <c r="H241" i="1"/>
  <c r="H257" i="1"/>
  <c r="H273" i="1"/>
  <c r="H289" i="1"/>
  <c r="H305" i="1"/>
  <c r="H267" i="1"/>
  <c r="H299" i="1"/>
  <c r="H335" i="1"/>
  <c r="H321" i="1"/>
  <c r="H337" i="1"/>
  <c r="H353" i="1"/>
  <c r="H369" i="1"/>
  <c r="H385" i="1"/>
  <c r="H401" i="1"/>
  <c r="H417" i="1"/>
  <c r="H433" i="1"/>
  <c r="H449" i="1"/>
  <c r="H465" i="1"/>
  <c r="H481" i="1"/>
  <c r="H497" i="1"/>
  <c r="H513" i="1"/>
  <c r="H529" i="1"/>
  <c r="H545" i="1"/>
  <c r="H561" i="1"/>
  <c r="H577" i="1"/>
  <c r="H593" i="1"/>
  <c r="H609" i="1"/>
  <c r="H625" i="1"/>
  <c r="H641" i="1"/>
  <c r="H709" i="1"/>
  <c r="H222" i="1"/>
  <c r="H238" i="1"/>
  <c r="H254" i="1"/>
  <c r="H270" i="1"/>
  <c r="H286" i="1"/>
  <c r="H302" i="1"/>
  <c r="H318" i="1"/>
  <c r="H334" i="1"/>
  <c r="H350" i="1"/>
  <c r="H366" i="1"/>
  <c r="H382" i="1"/>
  <c r="H398" i="1"/>
  <c r="H414" i="1"/>
  <c r="H430" i="1"/>
  <c r="H446" i="1"/>
  <c r="H462" i="1"/>
  <c r="H478" i="1"/>
  <c r="H494" i="1"/>
  <c r="H510" i="1"/>
  <c r="H526" i="1"/>
  <c r="H542" i="1"/>
  <c r="H558" i="1"/>
  <c r="H574" i="1"/>
  <c r="H590" i="1"/>
  <c r="H606" i="1"/>
  <c r="H622" i="1"/>
  <c r="H638" i="1"/>
  <c r="H654" i="1"/>
  <c r="H670" i="1"/>
  <c r="H686" i="1"/>
  <c r="H702" i="1"/>
  <c r="H718" i="1"/>
  <c r="H734" i="1"/>
  <c r="H750" i="1"/>
  <c r="H595" i="1"/>
  <c r="H627" i="1"/>
  <c r="H655" i="1"/>
  <c r="H683" i="1"/>
  <c r="H707" i="1"/>
  <c r="H735" i="1"/>
  <c r="H759" i="1"/>
  <c r="H681" i="1"/>
  <c r="H737" i="1"/>
  <c r="H355" i="1"/>
  <c r="H371" i="1"/>
  <c r="H387" i="1"/>
  <c r="H403" i="1"/>
  <c r="H419" i="1"/>
  <c r="H435" i="1"/>
  <c r="H451" i="1"/>
  <c r="H467" i="1"/>
  <c r="H483" i="1"/>
  <c r="H499" i="1"/>
  <c r="H515" i="1"/>
  <c r="H531" i="1"/>
  <c r="H547" i="1"/>
  <c r="H563" i="1"/>
  <c r="H579" i="1"/>
  <c r="H599" i="1"/>
  <c r="H631" i="1"/>
  <c r="H671" i="1"/>
  <c r="H711" i="1"/>
  <c r="H755" i="1"/>
  <c r="H729" i="1"/>
  <c r="H308" i="1"/>
  <c r="H324" i="1"/>
  <c r="H340" i="1"/>
  <c r="H356" i="1"/>
  <c r="H372" i="1"/>
  <c r="H388" i="1"/>
  <c r="H404" i="1"/>
  <c r="H420" i="1"/>
  <c r="H436" i="1"/>
  <c r="H452" i="1"/>
  <c r="H468" i="1"/>
  <c r="H484" i="1"/>
  <c r="H500" i="1"/>
  <c r="H516" i="1"/>
  <c r="H532" i="1"/>
  <c r="H548" i="1"/>
  <c r="H564" i="1"/>
  <c r="H580" i="1"/>
  <c r="H596" i="1"/>
  <c r="H612" i="1"/>
  <c r="H628" i="1"/>
  <c r="H644" i="1"/>
  <c r="H660" i="1"/>
  <c r="H676" i="1"/>
  <c r="H692" i="1"/>
  <c r="H708" i="1"/>
  <c r="H724" i="1"/>
  <c r="H740" i="1"/>
  <c r="H756" i="1"/>
  <c r="H677" i="1"/>
  <c r="H721" i="1"/>
  <c r="H753" i="1"/>
  <c r="H235" i="1"/>
  <c r="H251" i="1"/>
  <c r="H279" i="1"/>
  <c r="H311" i="1"/>
  <c r="H339" i="1"/>
  <c r="H232" i="1"/>
  <c r="H248" i="1"/>
  <c r="H264" i="1"/>
  <c r="H280" i="1"/>
  <c r="H296" i="1"/>
  <c r="H229" i="1"/>
  <c r="H245" i="1"/>
  <c r="H261" i="1"/>
  <c r="H277" i="1"/>
  <c r="H293" i="1"/>
  <c r="H216" i="1"/>
  <c r="H275" i="1"/>
  <c r="H307" i="1"/>
  <c r="H309" i="1"/>
  <c r="H325" i="1"/>
  <c r="H341" i="1"/>
  <c r="H357" i="1"/>
  <c r="H373" i="1"/>
  <c r="H389" i="1"/>
  <c r="H405" i="1"/>
  <c r="H421" i="1"/>
  <c r="H437" i="1"/>
  <c r="H453" i="1"/>
  <c r="H469" i="1"/>
  <c r="H485" i="1"/>
  <c r="H501" i="1"/>
  <c r="H517" i="1"/>
  <c r="H533" i="1"/>
  <c r="H549" i="1"/>
  <c r="H565" i="1"/>
  <c r="H581" i="1"/>
  <c r="H597" i="1"/>
  <c r="H613" i="1"/>
  <c r="H629" i="1"/>
  <c r="H653" i="1"/>
  <c r="H733" i="1"/>
  <c r="H226" i="1"/>
  <c r="H242" i="1"/>
  <c r="H258" i="1"/>
  <c r="H274" i="1"/>
  <c r="H290" i="1"/>
  <c r="H306" i="1"/>
  <c r="H322" i="1"/>
  <c r="H338" i="1"/>
  <c r="H354" i="1"/>
  <c r="H370" i="1"/>
  <c r="H386" i="1"/>
  <c r="H402" i="1"/>
  <c r="H418" i="1"/>
  <c r="H434" i="1"/>
  <c r="H450" i="1"/>
  <c r="H466" i="1"/>
  <c r="H482" i="1"/>
  <c r="H498" i="1"/>
  <c r="H514" i="1"/>
  <c r="H530" i="1"/>
  <c r="H546" i="1"/>
  <c r="H562" i="1"/>
  <c r="H578" i="1"/>
  <c r="H594" i="1"/>
  <c r="H610" i="1"/>
  <c r="H626" i="1"/>
  <c r="H642" i="1"/>
  <c r="H658" i="1"/>
  <c r="H674" i="1"/>
  <c r="H690" i="1"/>
  <c r="H706" i="1"/>
  <c r="H722" i="1"/>
  <c r="H738" i="1"/>
  <c r="H754" i="1"/>
  <c r="H607" i="1"/>
  <c r="H635" i="1"/>
  <c r="H663" i="1"/>
  <c r="H691" i="1"/>
  <c r="H715" i="1"/>
  <c r="H739" i="1"/>
  <c r="H649" i="1"/>
  <c r="H697" i="1"/>
  <c r="H343" i="1"/>
  <c r="H359" i="1"/>
  <c r="H375" i="1"/>
  <c r="H391" i="1"/>
  <c r="H407" i="1"/>
  <c r="H423" i="1"/>
  <c r="H439" i="1"/>
  <c r="H455" i="1"/>
  <c r="H471" i="1"/>
  <c r="H487" i="1"/>
  <c r="H503" i="1"/>
  <c r="H519" i="1"/>
  <c r="H535" i="1"/>
  <c r="H551" i="1"/>
  <c r="H567" i="1"/>
  <c r="H583" i="1"/>
  <c r="H603" i="1"/>
  <c r="H639" i="1"/>
  <c r="H679" i="1"/>
  <c r="H723" i="1"/>
  <c r="H665" i="1"/>
  <c r="H745" i="1"/>
  <c r="H312" i="1"/>
  <c r="H328" i="1"/>
  <c r="H344" i="1"/>
  <c r="H360" i="1"/>
  <c r="H376" i="1"/>
  <c r="H392" i="1"/>
  <c r="H408" i="1"/>
  <c r="H424" i="1"/>
  <c r="H440" i="1"/>
  <c r="H456" i="1"/>
  <c r="H472" i="1"/>
  <c r="H488" i="1"/>
  <c r="H504" i="1"/>
  <c r="H520" i="1"/>
  <c r="H536" i="1"/>
  <c r="H552" i="1"/>
  <c r="H568" i="1"/>
  <c r="H584" i="1"/>
  <c r="H600" i="1"/>
  <c r="H616" i="1"/>
  <c r="H632" i="1"/>
  <c r="H648" i="1"/>
  <c r="H664" i="1"/>
  <c r="H680" i="1"/>
  <c r="H696" i="1"/>
  <c r="H712" i="1"/>
  <c r="H728" i="1"/>
  <c r="H744" i="1"/>
  <c r="H760" i="1"/>
  <c r="H685" i="1"/>
  <c r="H741" i="1"/>
  <c r="H48" i="1"/>
  <c r="H168" i="1"/>
  <c r="H160" i="1"/>
  <c r="H128" i="1"/>
  <c r="H104" i="1"/>
  <c r="H96" i="1"/>
  <c r="H72" i="1"/>
  <c r="H64" i="1"/>
  <c r="H152" i="1"/>
  <c r="H144" i="1"/>
  <c r="H120" i="1"/>
  <c r="H56" i="1"/>
  <c r="H176" i="1"/>
  <c r="H112" i="1"/>
  <c r="H88" i="1"/>
  <c r="H80" i="1"/>
  <c r="H24" i="1"/>
  <c r="H16" i="1"/>
  <c r="H136" i="1"/>
  <c r="H40" i="1"/>
  <c r="H32" i="1"/>
  <c r="H179" i="1"/>
  <c r="H167" i="1"/>
  <c r="H211" i="1"/>
  <c r="H207" i="1"/>
  <c r="H203" i="1"/>
  <c r="H181" i="1"/>
  <c r="H175" i="1"/>
  <c r="H163" i="1"/>
  <c r="H182" i="1"/>
  <c r="H171" i="1"/>
  <c r="H159" i="1"/>
  <c r="H155" i="1"/>
  <c r="H180" i="1"/>
  <c r="H172" i="1"/>
  <c r="H164" i="1"/>
  <c r="H156" i="1"/>
  <c r="H151" i="1"/>
  <c r="H148" i="1"/>
  <c r="H147" i="1"/>
  <c r="H143" i="1"/>
  <c r="H140" i="1"/>
  <c r="H139" i="1"/>
  <c r="H135" i="1"/>
  <c r="H132" i="1"/>
  <c r="H131" i="1"/>
  <c r="H127" i="1"/>
  <c r="H124" i="1"/>
  <c r="H123" i="1"/>
  <c r="H119" i="1"/>
  <c r="H116" i="1"/>
  <c r="H115" i="1"/>
  <c r="H111" i="1"/>
  <c r="H108" i="1"/>
  <c r="H107" i="1"/>
  <c r="H103" i="1"/>
  <c r="H100" i="1"/>
  <c r="H99" i="1"/>
  <c r="H95" i="1"/>
  <c r="H92" i="1"/>
  <c r="H91" i="1"/>
  <c r="H87" i="1"/>
  <c r="H84" i="1"/>
  <c r="H83" i="1"/>
  <c r="H79" i="1"/>
  <c r="H76" i="1"/>
  <c r="H75" i="1"/>
  <c r="H71" i="1"/>
  <c r="H68" i="1"/>
  <c r="H67" i="1"/>
  <c r="H63" i="1"/>
  <c r="H60" i="1"/>
  <c r="H59" i="1"/>
  <c r="H55" i="1"/>
  <c r="H52" i="1"/>
  <c r="H51" i="1"/>
  <c r="H47" i="1"/>
  <c r="H44" i="1"/>
  <c r="H43" i="1"/>
  <c r="H39" i="1"/>
  <c r="H36" i="1"/>
  <c r="H35" i="1"/>
  <c r="H31" i="1"/>
  <c r="H28" i="1"/>
  <c r="H27" i="1"/>
  <c r="H23" i="1"/>
  <c r="H20" i="1"/>
  <c r="H19" i="1"/>
  <c r="H15" i="1"/>
  <c r="H12" i="1"/>
  <c r="H11" i="1"/>
  <c r="H191" i="1"/>
  <c r="H205" i="1"/>
  <c r="H193" i="1"/>
  <c r="H199" i="1"/>
  <c r="H213" i="1"/>
  <c r="H185" i="1"/>
  <c r="H178" i="1"/>
  <c r="H170" i="1"/>
  <c r="H162" i="1"/>
  <c r="H157" i="1"/>
  <c r="H146" i="1"/>
  <c r="H141" i="1"/>
  <c r="H134" i="1"/>
  <c r="H126" i="1"/>
  <c r="H118" i="1"/>
  <c r="H110" i="1"/>
  <c r="H105" i="1"/>
  <c r="H97" i="1"/>
  <c r="H90" i="1"/>
  <c r="H85" i="1"/>
  <c r="H81" i="1"/>
  <c r="H78" i="1"/>
  <c r="H74" i="1"/>
  <c r="H73" i="1"/>
  <c r="H70" i="1"/>
  <c r="H69" i="1"/>
  <c r="H66" i="1"/>
  <c r="H65" i="1"/>
  <c r="H62" i="1"/>
  <c r="H61" i="1"/>
  <c r="H58" i="1"/>
  <c r="H57" i="1"/>
  <c r="H54" i="1"/>
  <c r="H53" i="1"/>
  <c r="H50" i="1"/>
  <c r="H49" i="1"/>
  <c r="H46" i="1"/>
  <c r="H45" i="1"/>
  <c r="H42" i="1"/>
  <c r="H41" i="1"/>
  <c r="H38" i="1"/>
  <c r="H37" i="1"/>
  <c r="H34" i="1"/>
  <c r="H33" i="1"/>
  <c r="H30" i="1"/>
  <c r="H29" i="1"/>
  <c r="H26" i="1"/>
  <c r="H25" i="1"/>
  <c r="H22" i="1"/>
  <c r="H21" i="1"/>
  <c r="H18" i="1"/>
  <c r="H17" i="1"/>
  <c r="H14" i="1"/>
  <c r="H13" i="1"/>
  <c r="H10" i="1"/>
  <c r="H9" i="1"/>
  <c r="H187" i="1"/>
  <c r="H201" i="1"/>
  <c r="H189" i="1"/>
  <c r="H177" i="1"/>
  <c r="H173" i="1"/>
  <c r="H169" i="1"/>
  <c r="H165" i="1"/>
  <c r="H161" i="1"/>
  <c r="H158" i="1"/>
  <c r="H153" i="1"/>
  <c r="H150" i="1"/>
  <c r="H145" i="1"/>
  <c r="H142" i="1"/>
  <c r="H137" i="1"/>
  <c r="H133" i="1"/>
  <c r="H129" i="1"/>
  <c r="H125" i="1"/>
  <c r="H122" i="1"/>
  <c r="H117" i="1"/>
  <c r="H113" i="1"/>
  <c r="H109" i="1"/>
  <c r="H102" i="1"/>
  <c r="H98" i="1"/>
  <c r="H94" i="1"/>
  <c r="H86" i="1"/>
  <c r="H77" i="1"/>
  <c r="H195" i="1"/>
  <c r="H209" i="1"/>
  <c r="H197" i="1"/>
  <c r="H174" i="1"/>
  <c r="H166" i="1"/>
  <c r="H154" i="1"/>
  <c r="H149" i="1"/>
  <c r="H138" i="1"/>
  <c r="H130" i="1"/>
  <c r="H121" i="1"/>
  <c r="H114" i="1"/>
  <c r="H106" i="1"/>
  <c r="H101" i="1"/>
  <c r="H93" i="1"/>
  <c r="H89" i="1"/>
  <c r="H82" i="1"/>
  <c r="H184" i="1"/>
  <c r="H212" i="1"/>
  <c r="H208" i="1"/>
  <c r="H204" i="1"/>
  <c r="H200" i="1"/>
  <c r="H196" i="1"/>
  <c r="H192" i="1"/>
  <c r="H188" i="1"/>
  <c r="H210" i="1"/>
  <c r="H206" i="1"/>
  <c r="H202" i="1"/>
  <c r="H198" i="1"/>
  <c r="H194" i="1"/>
  <c r="H190" i="1"/>
  <c r="H186" i="1"/>
  <c r="H2" i="1"/>
</calcChain>
</file>

<file path=xl/sharedStrings.xml><?xml version="1.0" encoding="utf-8"?>
<sst xmlns="http://schemas.openxmlformats.org/spreadsheetml/2006/main" count="73" uniqueCount="22">
  <si>
    <t>Data</t>
  </si>
  <si>
    <t>Dia da Semana</t>
  </si>
  <si>
    <t>Faturamento Bruto</t>
  </si>
  <si>
    <t>N° de Clientes</t>
  </si>
  <si>
    <t>Ticket Médio</t>
  </si>
  <si>
    <t>Mês</t>
  </si>
  <si>
    <t>Ano</t>
  </si>
  <si>
    <t>ID Único</t>
  </si>
  <si>
    <t>jun</t>
  </si>
  <si>
    <t>jul</t>
  </si>
  <si>
    <t>Valor da Meta</t>
  </si>
  <si>
    <t>jan</t>
  </si>
  <si>
    <t>fev</t>
  </si>
  <si>
    <t>mar</t>
  </si>
  <si>
    <t>abr</t>
  </si>
  <si>
    <t>mai</t>
  </si>
  <si>
    <t>dez</t>
  </si>
  <si>
    <t>Chave</t>
  </si>
  <si>
    <t>ago</t>
  </si>
  <si>
    <t>set</t>
  </si>
  <si>
    <t>out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</si>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</sst>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2" tint="-0.749992370372631"/>
      <name val="Segoe U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3" fillId="0" borderId="0" xfId="0" applyFont="1"/>
    <xf numFmtId="0" fontId="3" fillId="0" borderId="1" xfId="0" applyFont="1" applyBorder="1"/>
    <xf numFmtId="44" fontId="3" fillId="0" borderId="1" xfId="1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/>
    <xf numFmtId="44" fontId="3" fillId="0" borderId="4" xfId="1" applyFont="1" applyBorder="1"/>
    <xf numFmtId="44" fontId="3" fillId="0" borderId="0" xfId="1" applyFont="1"/>
    <xf numFmtId="14" fontId="3" fillId="0" borderId="2" xfId="0" applyNumberFormat="1" applyFont="1" applyBorder="1" applyProtection="1">
      <protection locked="0"/>
    </xf>
    <xf numFmtId="14" fontId="3" fillId="0" borderId="6" xfId="0" applyNumberFormat="1" applyFont="1" applyBorder="1" applyProtection="1">
      <protection locked="0"/>
    </xf>
    <xf numFmtId="44" fontId="3" fillId="0" borderId="4" xfId="1" applyFont="1" applyBorder="1" applyProtection="1">
      <protection locked="0"/>
    </xf>
    <xf numFmtId="44" fontId="3" fillId="0" borderId="1" xfId="1" applyFont="1" applyFill="1" applyBorder="1" applyProtection="1">
      <protection locked="0"/>
    </xf>
    <xf numFmtId="44" fontId="3" fillId="0" borderId="7" xfId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1" fontId="3" fillId="0" borderId="1" xfId="0" applyNumberFormat="1" applyFont="1" applyBorder="1" applyProtection="1">
      <protection locked="0"/>
    </xf>
    <xf numFmtId="1" fontId="3" fillId="0" borderId="7" xfId="0" applyNumberFormat="1" applyFont="1" applyBorder="1" applyProtection="1">
      <protection locked="0"/>
    </xf>
    <xf numFmtId="0" fontId="3" fillId="0" borderId="0" xfId="0" applyFont="1" applyProtection="1">
      <protection locked="0"/>
    </xf>
    <xf numFmtId="44" fontId="3" fillId="0" borderId="0" xfId="1" applyFont="1" applyProtection="1">
      <protection locked="0"/>
    </xf>
    <xf numFmtId="14" fontId="3" fillId="0" borderId="3" xfId="0" applyNumberFormat="1" applyFont="1" applyBorder="1" applyProtection="1">
      <protection locked="0"/>
    </xf>
    <xf numFmtId="14" fontId="3" fillId="0" borderId="0" xfId="0" applyNumberFormat="1" applyFont="1" applyProtection="1">
      <protection locked="0"/>
    </xf>
    <xf numFmtId="44" fontId="0" fillId="0" borderId="0" xfId="1" applyFont="1" applyProtection="1">
      <protection locked="0"/>
    </xf>
    <xf numFmtId="44" fontId="4" fillId="0" borderId="0" xfId="1" applyFont="1" applyProtection="1">
      <protection locked="0"/>
    </xf>
    <xf numFmtId="0" fontId="0" fillId="0" borderId="0" xfId="0" applyProtection="1">
      <protection locked="0"/>
    </xf>
  </cellXfs>
  <cellStyles count="2">
    <cellStyle name="Moeda" xfId="1" builtinId="4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749992370372631"/>
        <name val="Segoe U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1" tint="0.249977111117893"/>
        </left>
        <right/>
        <top style="thin">
          <color theme="1" tint="0.249977111117893"/>
        </top>
        <bottom style="thin">
          <color theme="1" tint="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749992370372631"/>
        <name val="Segoe U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749992370372631"/>
        <name val="Segoe U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749992370372631"/>
        <name val="Segoe U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749992370372631"/>
        <name val="Segoe U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749992370372631"/>
        <name val="Segoe U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749992370372631"/>
        <name val="Segoe U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749992370372631"/>
        <name val="Segoe U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  <protection locked="0" hidden="0"/>
    </dxf>
    <dxf>
      <border outline="0">
        <top style="thin">
          <color theme="1" tint="0.249977111117893"/>
        </top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bottom style="thin">
          <color theme="1" tint="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749992370372631"/>
        <name val="Segoe UI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1" tint="0.249977111117893"/>
        </left>
        <right style="thin">
          <color theme="1" tint="0.249977111117893"/>
        </right>
        <top/>
        <bottom/>
      </border>
    </dxf>
  </dxfs>
  <tableStyles count="0" defaultTableStyle="TableStyleMedium2" defaultPivotStyle="PivotStyleLight16"/>
  <colors>
    <mruColors>
      <color rgb="FFDB78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5BFAAE-C53A-4CA9-992C-5CEDD96B29ED}" name="Tabela2" displayName="Tabela2" ref="A1:H762" totalsRowShown="0" headerRowDxfId="13" headerRowBorderDxfId="12" tableBorderDxfId="11" totalsRowBorderDxfId="10">
  <autoFilter ref="A1:H762" xr:uid="{995BFAAE-C53A-4CA9-992C-5CEDD96B29ED}"/>
  <tableColumns count="8">
    <tableColumn id="1" xr3:uid="{7DBE5176-4E9F-469C-A17F-18C47A20CD6A}" name="Data" dataDxfId="9"/>
    <tableColumn id="2" xr3:uid="{DC2A2558-C5C1-495D-8DED-A93905B52322}" name="Dia da Semana" dataDxfId="8">
      <calculatedColumnFormula>IF(A2&lt;&gt;" ",TEXT(A2,"dddd")," ")</calculatedColumnFormula>
    </tableColumn>
    <tableColumn id="3" xr3:uid="{F51B462D-CEA1-485E-94DA-CAB42D9AF704}" name="Faturamento Bruto" dataDxfId="7" dataCellStyle="Moeda"/>
    <tableColumn id="4" xr3:uid="{ABA8AB71-D7F2-46BE-AE6A-E043B8B0D349}" name="N° de Clientes" dataDxfId="6"/>
    <tableColumn id="5" xr3:uid="{E5C88DF1-1032-4B59-B278-A09F71BC6938}" name="Ticket Médio" dataDxfId="5" dataCellStyle="Moeda">
      <calculatedColumnFormula>IF(D2&gt;0,C2/D2," ")</calculatedColumnFormula>
    </tableColumn>
    <tableColumn id="6" xr3:uid="{A1AB83D5-EA8E-4AC6-8FDB-10A989C0056A}" name="Mês" dataDxfId="4">
      <calculatedColumnFormula>IF(A2&lt;&gt;" ",MONTH(A2)," ")</calculatedColumnFormula>
    </tableColumn>
    <tableColumn id="7" xr3:uid="{6760074C-7BC5-4B82-BF49-C5B408794CEF}" name="Ano" dataDxfId="3">
      <calculatedColumnFormula>IF(A2&lt;&gt;" ",YEAR(A2)," ")</calculatedColumnFormula>
    </tableColumn>
    <tableColumn id="8" xr3:uid="{08D07219-EC9E-4C1D-BC4F-2590D5005969}" name="ID Único" dataDxfId="2">
      <calculatedColumnFormula>IF(A2&lt;&gt;" ",G2&amp;"-"&amp;F2&amp;"-"&amp;COUNTIFS($G$2:G2,G2,$F$2:F2,F2)," 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77EBE-DF1E-4E99-8578-75A2A3A8C4A9}" name="Tabela1" displayName="Tabela1" ref="A1:D62" totalsRowShown="0">
  <autoFilter ref="A1:D62" xr:uid="{4FA77EBE-DF1E-4E99-8578-75A2A3A8C4A9}"/>
  <tableColumns count="4">
    <tableColumn id="4" xr3:uid="{69ADC41C-E68C-4EEA-8B73-EDD22B8E0870}" name="Chave" dataDxfId="1">
      <calculatedColumnFormula>Tabela1[[#This Row],[Ano]]&amp;"-"&amp;Tabela1[[#This Row],[Mês]]</calculatedColumnFormula>
    </tableColumn>
    <tableColumn id="1" xr3:uid="{2443DC23-6591-4656-B360-D35D59D3D302}" name="Ano"/>
    <tableColumn id="2" xr3:uid="{D359A76D-5BDB-42EA-B227-A76DE6051296}" name="Mês"/>
    <tableColumn id="3" xr3:uid="{9DF3346C-DABC-46C5-A94E-ADFB9F0C1D0F}" name="Valor da Meta" dataDxfId="0" dataCellStyle="Moed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53BA-0FC6-43FA-A510-46A1C012D0CC}">
  <sheetPr>
    <tabColor rgb="FFFFFF00"/>
  </sheetPr>
  <dimension ref="A1:O762"/>
  <sheetViews>
    <sheetView showGridLines="0" tabSelected="1" topLeftCell="A379" workbookViewId="0">
      <selection activeCell="C400" sqref="C400"/>
    </sheetView>
  </sheetViews>
  <sheetFormatPr defaultColWidth="9.140625" defaultRowHeight="14.25" x14ac:dyDescent="0.25"/>
  <cols>
    <col min="1" max="1" width="11.85546875" style="21" bestFit="1" customWidth="1"/>
    <col min="2" max="2" width="16" style="2" customWidth="1"/>
    <col min="3" max="3" width="19.85546875" style="19" customWidth="1"/>
    <col min="4" max="4" width="15.7109375" style="18" customWidth="1"/>
    <col min="5" max="5" width="14.5703125" style="9" customWidth="1"/>
    <col min="6" max="7" width="9.28515625" style="2" bestFit="1" customWidth="1"/>
    <col min="8" max="8" width="10.42578125" style="2" customWidth="1"/>
    <col min="9" max="12" width="9.140625" style="2"/>
    <col min="13" max="13" width="18" style="2" bestFit="1" customWidth="1"/>
    <col min="14" max="14" width="26.28515625" style="2" bestFit="1" customWidth="1"/>
    <col min="15" max="16384" width="9.140625" style="2"/>
  </cols>
  <sheetData>
    <row r="1" spans="1:15" x14ac:dyDescent="0.25">
      <c r="A1" s="20" t="s">
        <v>0</v>
      </c>
      <c r="B1" s="5" t="s">
        <v>1</v>
      </c>
      <c r="C1" s="12" t="s">
        <v>2</v>
      </c>
      <c r="D1" s="15" t="s">
        <v>3</v>
      </c>
      <c r="E1" s="8" t="s">
        <v>4</v>
      </c>
      <c r="F1" s="5" t="s">
        <v>5</v>
      </c>
      <c r="G1" s="5" t="s">
        <v>6</v>
      </c>
      <c r="H1" s="6" t="s">
        <v>7</v>
      </c>
    </row>
    <row r="2" spans="1:15" x14ac:dyDescent="0.25">
      <c r="A2" s="10">
        <v>45627</v>
      </c>
      <c r="B2" s="5" t="str">
        <f t="shared" ref="B2:B33" si="0">IF(A2&lt;&gt;" ",TEXT(A2,"dddd")," ")</f>
        <v>domingo</v>
      </c>
      <c r="C2" s="12">
        <v>16446.28</v>
      </c>
      <c r="D2" s="15">
        <v>707</v>
      </c>
      <c r="E2" s="8">
        <f t="shared" ref="E2:E33" si="1">IF(D2&gt;0,C2/D2," ")</f>
        <v>23.262065063649221</v>
      </c>
      <c r="F2" s="5">
        <f t="shared" ref="F2:F33" si="2">IF(A2&lt;&gt;" ",MONTH(A2)," ")</f>
        <v>12</v>
      </c>
      <c r="G2" s="5">
        <f t="shared" ref="G2:G33" si="3">IF(A2&lt;&gt;" ",YEAR(A2)," ")</f>
        <v>2024</v>
      </c>
      <c r="H2" s="6" t="str">
        <f>IF(A2&lt;&gt;" ",G2&amp;"-"&amp;F2&amp;"-"&amp;COUNTIFS($G$2:G2,G2,$F$2:F2,F2)," ")</f>
        <v>2024-12-1</v>
      </c>
    </row>
    <row r="3" spans="1:15" x14ac:dyDescent="0.25">
      <c r="A3" s="10">
        <v>45628</v>
      </c>
      <c r="B3" s="5" t="str">
        <f t="shared" si="0"/>
        <v>segunda-feira</v>
      </c>
      <c r="C3" s="12">
        <v>39245.64</v>
      </c>
      <c r="D3" s="15">
        <v>1536</v>
      </c>
      <c r="E3" s="8">
        <f t="shared" si="1"/>
        <v>25.550546874999998</v>
      </c>
      <c r="F3" s="5">
        <f t="shared" si="2"/>
        <v>12</v>
      </c>
      <c r="G3" s="5">
        <f t="shared" si="3"/>
        <v>2024</v>
      </c>
      <c r="H3" s="6" t="str">
        <f>IF(A3&lt;&gt;" ",G3&amp;"-"&amp;F3&amp;"-"&amp;COUNTIFS($G$2:G3,G3,$F$2:F3,F3)," ")</f>
        <v>2024-12-2</v>
      </c>
    </row>
    <row r="4" spans="1:15" x14ac:dyDescent="0.25">
      <c r="A4" s="10">
        <v>45629</v>
      </c>
      <c r="B4" s="5" t="str">
        <f t="shared" si="0"/>
        <v>terça-feira</v>
      </c>
      <c r="C4" s="12">
        <v>49918.29</v>
      </c>
      <c r="D4" s="15">
        <v>1826</v>
      </c>
      <c r="E4" s="8">
        <f t="shared" si="1"/>
        <v>27.337508214676891</v>
      </c>
      <c r="F4" s="5">
        <f t="shared" si="2"/>
        <v>12</v>
      </c>
      <c r="G4" s="5">
        <f t="shared" si="3"/>
        <v>2024</v>
      </c>
      <c r="H4" s="6" t="str">
        <f>IF(A4&lt;&gt;" ",G4&amp;"-"&amp;F4&amp;"-"&amp;COUNTIFS($G$2:G4,G4,$F$2:F4,F4)," ")</f>
        <v>2024-12-3</v>
      </c>
    </row>
    <row r="5" spans="1:15" ht="15" x14ac:dyDescent="0.25">
      <c r="A5" s="10">
        <v>45630</v>
      </c>
      <c r="B5" s="5" t="str">
        <f t="shared" si="0"/>
        <v>quarta-feira</v>
      </c>
      <c r="C5" s="12">
        <v>39145.61</v>
      </c>
      <c r="D5" s="15">
        <v>1447</v>
      </c>
      <c r="E5" s="8">
        <f t="shared" si="1"/>
        <v>27.052944022114719</v>
      </c>
      <c r="F5" s="5">
        <f t="shared" si="2"/>
        <v>12</v>
      </c>
      <c r="G5" s="5">
        <f t="shared" si="3"/>
        <v>2024</v>
      </c>
      <c r="H5" s="6" t="str">
        <f>IF(A5&lt;&gt;" ",G5&amp;"-"&amp;F5&amp;"-"&amp;COUNTIFS($G$2:G5,G5,$F$2:F5,F5)," ")</f>
        <v>2024-12-4</v>
      </c>
      <c r="O5"/>
    </row>
    <row r="6" spans="1:15" ht="15" x14ac:dyDescent="0.25">
      <c r="A6" s="10">
        <v>45631</v>
      </c>
      <c r="B6" s="5" t="str">
        <f t="shared" si="0"/>
        <v>quinta-feira</v>
      </c>
      <c r="C6" s="12">
        <v>45347.81</v>
      </c>
      <c r="D6" s="15">
        <v>1727</v>
      </c>
      <c r="E6" s="8">
        <f t="shared" si="1"/>
        <v>26.258141285466124</v>
      </c>
      <c r="F6" s="5">
        <f t="shared" si="2"/>
        <v>12</v>
      </c>
      <c r="G6" s="5">
        <f t="shared" si="3"/>
        <v>2024</v>
      </c>
      <c r="H6" s="6" t="str">
        <f>IF(A6&lt;&gt;" ",G6&amp;"-"&amp;F6&amp;"-"&amp;COUNTIFS($G$2:G6,G6,$F$2:F6,F6)," ")</f>
        <v>2024-12-5</v>
      </c>
      <c r="O6"/>
    </row>
    <row r="7" spans="1:15" ht="15" x14ac:dyDescent="0.25">
      <c r="A7" s="10">
        <v>45632</v>
      </c>
      <c r="B7" s="5" t="str">
        <f t="shared" si="0"/>
        <v>sexta-feira</v>
      </c>
      <c r="C7" s="12">
        <v>60391.59</v>
      </c>
      <c r="D7" s="15">
        <v>2108</v>
      </c>
      <c r="E7" s="8">
        <f t="shared" si="1"/>
        <v>28.648761859582542</v>
      </c>
      <c r="F7" s="5">
        <f t="shared" si="2"/>
        <v>12</v>
      </c>
      <c r="G7" s="5">
        <f t="shared" si="3"/>
        <v>2024</v>
      </c>
      <c r="H7" s="6" t="str">
        <f>IF(A7&lt;&gt;" ",G7&amp;"-"&amp;F7&amp;"-"&amp;COUNTIFS($G$2:G7,G7,$F$2:F7,F7)," ")</f>
        <v>2024-12-6</v>
      </c>
      <c r="O7"/>
    </row>
    <row r="8" spans="1:15" ht="15" x14ac:dyDescent="0.25">
      <c r="A8" s="10">
        <v>45633</v>
      </c>
      <c r="B8" s="5" t="str">
        <f t="shared" si="0"/>
        <v>sábado</v>
      </c>
      <c r="C8" s="12">
        <v>54215.48</v>
      </c>
      <c r="D8" s="15">
        <v>1898</v>
      </c>
      <c r="E8" s="8">
        <f t="shared" si="1"/>
        <v>28.564531085353003</v>
      </c>
      <c r="F8" s="5">
        <f t="shared" si="2"/>
        <v>12</v>
      </c>
      <c r="G8" s="5">
        <f t="shared" si="3"/>
        <v>2024</v>
      </c>
      <c r="H8" s="6" t="str">
        <f>IF(A8&lt;&gt;" ",G8&amp;"-"&amp;F8&amp;"-"&amp;COUNTIFS($G$2:G8,G8,$F$2:F8,F8)," ")</f>
        <v>2024-12-7</v>
      </c>
      <c r="O8"/>
    </row>
    <row r="9" spans="1:15" ht="15" x14ac:dyDescent="0.25">
      <c r="A9" s="10">
        <v>45634</v>
      </c>
      <c r="B9" s="5" t="str">
        <f t="shared" si="0"/>
        <v>domingo</v>
      </c>
      <c r="C9" s="12">
        <v>18898.29</v>
      </c>
      <c r="D9" s="15">
        <v>781</v>
      </c>
      <c r="E9" s="8">
        <f t="shared" si="1"/>
        <v>24.197554417413574</v>
      </c>
      <c r="F9" s="5">
        <f t="shared" si="2"/>
        <v>12</v>
      </c>
      <c r="G9" s="5">
        <f t="shared" si="3"/>
        <v>2024</v>
      </c>
      <c r="H9" s="6" t="str">
        <f>IF(A9&lt;&gt;" ",G9&amp;"-"&amp;F9&amp;"-"&amp;COUNTIFS($G$2:G9,G9,$F$2:F9,F9)," ")</f>
        <v>2024-12-8</v>
      </c>
      <c r="O9"/>
    </row>
    <row r="10" spans="1:15" ht="15" x14ac:dyDescent="0.25">
      <c r="A10" s="10">
        <v>45635</v>
      </c>
      <c r="B10" s="5" t="str">
        <f t="shared" si="0"/>
        <v>segunda-feira</v>
      </c>
      <c r="C10" s="12">
        <v>43673</v>
      </c>
      <c r="D10" s="15">
        <v>1636</v>
      </c>
      <c r="E10" s="8">
        <f t="shared" si="1"/>
        <v>26.694987775061126</v>
      </c>
      <c r="F10" s="5">
        <f t="shared" si="2"/>
        <v>12</v>
      </c>
      <c r="G10" s="5">
        <f t="shared" si="3"/>
        <v>2024</v>
      </c>
      <c r="H10" s="6" t="str">
        <f>IF(A10&lt;&gt;" ",G10&amp;"-"&amp;F10&amp;"-"&amp;COUNTIFS($G$2:G10,G10,$F$2:F10,F10)," ")</f>
        <v>2024-12-9</v>
      </c>
      <c r="O10"/>
    </row>
    <row r="11" spans="1:15" ht="15" x14ac:dyDescent="0.25">
      <c r="A11" s="10">
        <v>45636</v>
      </c>
      <c r="B11" s="5" t="str">
        <f t="shared" si="0"/>
        <v>terça-feira</v>
      </c>
      <c r="C11" s="12">
        <v>52132.67</v>
      </c>
      <c r="D11" s="15">
        <v>1804</v>
      </c>
      <c r="E11" s="8">
        <f t="shared" si="1"/>
        <v>28.898375831485588</v>
      </c>
      <c r="F11" s="5">
        <f t="shared" si="2"/>
        <v>12</v>
      </c>
      <c r="G11" s="5">
        <f t="shared" si="3"/>
        <v>2024</v>
      </c>
      <c r="H11" s="6" t="str">
        <f>IF(A11&lt;&gt;" ",G11&amp;"-"&amp;F11&amp;"-"&amp;COUNTIFS($G$2:G11,G11,$F$2:F11,F11)," ")</f>
        <v>2024-12-10</v>
      </c>
      <c r="O11"/>
    </row>
    <row r="12" spans="1:15" ht="15" x14ac:dyDescent="0.25">
      <c r="A12" s="10">
        <v>45637</v>
      </c>
      <c r="B12" s="5" t="str">
        <f t="shared" si="0"/>
        <v>quarta-feira</v>
      </c>
      <c r="C12" s="12">
        <v>48852.3</v>
      </c>
      <c r="D12" s="15">
        <v>1795</v>
      </c>
      <c r="E12" s="8">
        <f t="shared" si="1"/>
        <v>27.215766016713093</v>
      </c>
      <c r="F12" s="5">
        <f t="shared" si="2"/>
        <v>12</v>
      </c>
      <c r="G12" s="5">
        <f t="shared" si="3"/>
        <v>2024</v>
      </c>
      <c r="H12" s="6" t="str">
        <f>IF(A12&lt;&gt;" ",G12&amp;"-"&amp;F12&amp;"-"&amp;COUNTIFS($G$2:G12,G12,$F$2:F12,F12)," ")</f>
        <v>2024-12-11</v>
      </c>
      <c r="O12"/>
    </row>
    <row r="13" spans="1:15" ht="15" x14ac:dyDescent="0.25">
      <c r="A13" s="10">
        <v>45638</v>
      </c>
      <c r="B13" s="5" t="str">
        <f t="shared" si="0"/>
        <v>quinta-feira</v>
      </c>
      <c r="C13" s="12">
        <v>47050.400000000001</v>
      </c>
      <c r="D13" s="15">
        <v>1672</v>
      </c>
      <c r="E13" s="8">
        <f t="shared" si="1"/>
        <v>28.14019138755981</v>
      </c>
      <c r="F13" s="5">
        <f t="shared" si="2"/>
        <v>12</v>
      </c>
      <c r="G13" s="5">
        <f t="shared" si="3"/>
        <v>2024</v>
      </c>
      <c r="H13" s="6" t="str">
        <f>IF(A13&lt;&gt;" ",G13&amp;"-"&amp;F13&amp;"-"&amp;COUNTIFS($G$2:G13,G13,$F$2:F13,F13)," ")</f>
        <v>2024-12-12</v>
      </c>
      <c r="O13"/>
    </row>
    <row r="14" spans="1:15" ht="15" x14ac:dyDescent="0.25">
      <c r="A14" s="10">
        <v>45639</v>
      </c>
      <c r="B14" s="5" t="str">
        <f t="shared" si="0"/>
        <v>sexta-feira</v>
      </c>
      <c r="C14" s="12">
        <v>55298.73</v>
      </c>
      <c r="D14" s="15">
        <v>1920</v>
      </c>
      <c r="E14" s="8">
        <f t="shared" si="1"/>
        <v>28.801421875000003</v>
      </c>
      <c r="F14" s="5">
        <f t="shared" si="2"/>
        <v>12</v>
      </c>
      <c r="G14" s="5">
        <f t="shared" si="3"/>
        <v>2024</v>
      </c>
      <c r="H14" s="6" t="str">
        <f>IF(A14&lt;&gt;" ",G14&amp;"-"&amp;F14&amp;"-"&amp;COUNTIFS($G$2:G14,G14,$F$2:F14,F14)," ")</f>
        <v>2024-12-13</v>
      </c>
      <c r="O14"/>
    </row>
    <row r="15" spans="1:15" ht="15" x14ac:dyDescent="0.25">
      <c r="A15" s="10">
        <v>45640</v>
      </c>
      <c r="B15" s="5" t="str">
        <f t="shared" si="0"/>
        <v>sábado</v>
      </c>
      <c r="C15" s="12">
        <v>56271.05</v>
      </c>
      <c r="D15" s="15">
        <v>1776</v>
      </c>
      <c r="E15" s="8">
        <f t="shared" si="1"/>
        <v>31.684149774774777</v>
      </c>
      <c r="F15" s="5">
        <f t="shared" si="2"/>
        <v>12</v>
      </c>
      <c r="G15" s="5">
        <f t="shared" si="3"/>
        <v>2024</v>
      </c>
      <c r="H15" s="6" t="str">
        <f>IF(A15&lt;&gt;" ",G15&amp;"-"&amp;F15&amp;"-"&amp;COUNTIFS($G$2:G15,G15,$F$2:F15,F15)," ")</f>
        <v>2024-12-14</v>
      </c>
      <c r="O15"/>
    </row>
    <row r="16" spans="1:15" ht="15" x14ac:dyDescent="0.25">
      <c r="A16" s="10">
        <v>45641</v>
      </c>
      <c r="B16" s="5" t="str">
        <f t="shared" si="0"/>
        <v>domingo</v>
      </c>
      <c r="C16" s="12">
        <v>20467.38</v>
      </c>
      <c r="D16" s="15">
        <v>768</v>
      </c>
      <c r="E16" s="8">
        <f t="shared" si="1"/>
        <v>26.650234375</v>
      </c>
      <c r="F16" s="5">
        <f t="shared" si="2"/>
        <v>12</v>
      </c>
      <c r="G16" s="5">
        <f t="shared" si="3"/>
        <v>2024</v>
      </c>
      <c r="H16" s="6" t="str">
        <f>IF(A16&lt;&gt;" ",G16&amp;"-"&amp;F16&amp;"-"&amp;COUNTIFS($G$2:G16,G16,$F$2:F16,F16)," ")</f>
        <v>2024-12-15</v>
      </c>
      <c r="M16"/>
      <c r="N16"/>
      <c r="O16"/>
    </row>
    <row r="17" spans="1:15" ht="15" x14ac:dyDescent="0.25">
      <c r="A17" s="10">
        <v>45642</v>
      </c>
      <c r="B17" s="5" t="str">
        <f t="shared" si="0"/>
        <v>segunda-feira</v>
      </c>
      <c r="C17" s="12">
        <v>67388.78</v>
      </c>
      <c r="D17" s="15">
        <v>2022</v>
      </c>
      <c r="E17" s="8">
        <f t="shared" si="1"/>
        <v>33.327784371908997</v>
      </c>
      <c r="F17" s="5">
        <f t="shared" si="2"/>
        <v>12</v>
      </c>
      <c r="G17" s="5">
        <f t="shared" si="3"/>
        <v>2024</v>
      </c>
      <c r="H17" s="6" t="str">
        <f>IF(A17&lt;&gt;" ",G17&amp;"-"&amp;F17&amp;"-"&amp;COUNTIFS($G$2:G17,G17,$F$2:F17,F17)," ")</f>
        <v>2024-12-16</v>
      </c>
      <c r="M17"/>
      <c r="N17"/>
      <c r="O17"/>
    </row>
    <row r="18" spans="1:15" ht="15" x14ac:dyDescent="0.25">
      <c r="A18" s="10">
        <v>45643</v>
      </c>
      <c r="B18" s="5" t="str">
        <f t="shared" si="0"/>
        <v>terça-feira</v>
      </c>
      <c r="C18" s="12">
        <v>60378.35</v>
      </c>
      <c r="D18" s="15">
        <v>1982</v>
      </c>
      <c r="E18" s="8">
        <f t="shared" si="1"/>
        <v>30.463345105953582</v>
      </c>
      <c r="F18" s="5">
        <f t="shared" si="2"/>
        <v>12</v>
      </c>
      <c r="G18" s="5">
        <f t="shared" si="3"/>
        <v>2024</v>
      </c>
      <c r="H18" s="6" t="str">
        <f>IF(A18&lt;&gt;" ",G18&amp;"-"&amp;F18&amp;"-"&amp;COUNTIFS($G$2:G18,G18,$F$2:F18,F18)," ")</f>
        <v>2024-12-17</v>
      </c>
      <c r="M18"/>
      <c r="N18"/>
      <c r="O18"/>
    </row>
    <row r="19" spans="1:15" ht="15" x14ac:dyDescent="0.25">
      <c r="A19" s="10">
        <v>45644</v>
      </c>
      <c r="B19" s="5" t="str">
        <f t="shared" si="0"/>
        <v>quarta-feira</v>
      </c>
      <c r="C19" s="12">
        <v>58516.83</v>
      </c>
      <c r="D19" s="15">
        <v>1927</v>
      </c>
      <c r="E19" s="8">
        <f t="shared" si="1"/>
        <v>30.366803321224701</v>
      </c>
      <c r="F19" s="5">
        <f t="shared" si="2"/>
        <v>12</v>
      </c>
      <c r="G19" s="5">
        <f t="shared" si="3"/>
        <v>2024</v>
      </c>
      <c r="H19" s="6" t="str">
        <f>IF(A19&lt;&gt;" ",G19&amp;"-"&amp;F19&amp;"-"&amp;COUNTIFS($G$2:G19,G19,$F$2:F19,F19)," ")</f>
        <v>2024-12-18</v>
      </c>
      <c r="M19"/>
      <c r="N19"/>
      <c r="O19"/>
    </row>
    <row r="20" spans="1:15" ht="15" x14ac:dyDescent="0.25">
      <c r="A20" s="10">
        <v>45645</v>
      </c>
      <c r="B20" s="5" t="str">
        <f t="shared" si="0"/>
        <v>quinta-feira</v>
      </c>
      <c r="C20" s="12">
        <v>45107.56</v>
      </c>
      <c r="D20" s="15">
        <v>1674</v>
      </c>
      <c r="E20" s="8">
        <f t="shared" si="1"/>
        <v>26.945973715651135</v>
      </c>
      <c r="F20" s="5">
        <f t="shared" si="2"/>
        <v>12</v>
      </c>
      <c r="G20" s="5">
        <f t="shared" si="3"/>
        <v>2024</v>
      </c>
      <c r="H20" s="6" t="str">
        <f>IF(A20&lt;&gt;" ",G20&amp;"-"&amp;F20&amp;"-"&amp;COUNTIFS($G$2:G20,G20,$F$2:F20,F20)," ")</f>
        <v>2024-12-19</v>
      </c>
      <c r="M20"/>
      <c r="N20"/>
      <c r="O20"/>
    </row>
    <row r="21" spans="1:15" ht="15" x14ac:dyDescent="0.25">
      <c r="A21" s="10">
        <v>45646</v>
      </c>
      <c r="B21" s="5" t="str">
        <f t="shared" si="0"/>
        <v>sexta-feira</v>
      </c>
      <c r="C21" s="12">
        <v>67931.91</v>
      </c>
      <c r="D21" s="15">
        <v>2129</v>
      </c>
      <c r="E21" s="8">
        <f t="shared" si="1"/>
        <v>31.907895725692814</v>
      </c>
      <c r="F21" s="5">
        <f t="shared" si="2"/>
        <v>12</v>
      </c>
      <c r="G21" s="5">
        <f t="shared" si="3"/>
        <v>2024</v>
      </c>
      <c r="H21" s="6" t="str">
        <f>IF(A21&lt;&gt;" ",G21&amp;"-"&amp;F21&amp;"-"&amp;COUNTIFS($G$2:G21,G21,$F$2:F21,F21)," ")</f>
        <v>2024-12-20</v>
      </c>
      <c r="M21"/>
      <c r="N21"/>
      <c r="O21"/>
    </row>
    <row r="22" spans="1:15" ht="15" x14ac:dyDescent="0.25">
      <c r="A22" s="10">
        <v>45647</v>
      </c>
      <c r="B22" s="5" t="str">
        <f t="shared" si="0"/>
        <v>sábado</v>
      </c>
      <c r="C22" s="12">
        <v>81587.83</v>
      </c>
      <c r="D22" s="15">
        <v>2180</v>
      </c>
      <c r="E22" s="8">
        <f t="shared" si="1"/>
        <v>37.425610091743117</v>
      </c>
      <c r="F22" s="5">
        <f t="shared" si="2"/>
        <v>12</v>
      </c>
      <c r="G22" s="5">
        <f t="shared" si="3"/>
        <v>2024</v>
      </c>
      <c r="H22" s="6" t="str">
        <f>IF(A22&lt;&gt;" ",G22&amp;"-"&amp;F22&amp;"-"&amp;COUNTIFS($G$2:G22,G22,$F$2:F22,F22)," ")</f>
        <v>2024-12-21</v>
      </c>
      <c r="M22"/>
      <c r="N22"/>
      <c r="O22"/>
    </row>
    <row r="23" spans="1:15" ht="15" x14ac:dyDescent="0.25">
      <c r="A23" s="10">
        <v>45648</v>
      </c>
      <c r="B23" s="5" t="str">
        <f t="shared" si="0"/>
        <v>domingo</v>
      </c>
      <c r="C23" s="12">
        <v>37662.300000000003</v>
      </c>
      <c r="D23" s="15">
        <v>1193</v>
      </c>
      <c r="E23" s="8">
        <f t="shared" si="1"/>
        <v>31.569404861693211</v>
      </c>
      <c r="F23" s="5">
        <f t="shared" si="2"/>
        <v>12</v>
      </c>
      <c r="G23" s="5">
        <f t="shared" si="3"/>
        <v>2024</v>
      </c>
      <c r="H23" s="6" t="str">
        <f>IF(A23&lt;&gt;" ",G23&amp;"-"&amp;F23&amp;"-"&amp;COUNTIFS($G$2:G23,G23,$F$2:F23,F23)," ")</f>
        <v>2024-12-22</v>
      </c>
      <c r="M23"/>
      <c r="N23"/>
    </row>
    <row r="24" spans="1:15" ht="15" x14ac:dyDescent="0.25">
      <c r="A24" s="10">
        <v>45649</v>
      </c>
      <c r="B24" s="5" t="str">
        <f t="shared" si="0"/>
        <v>segunda-feira</v>
      </c>
      <c r="C24" s="12">
        <v>106033.07</v>
      </c>
      <c r="D24" s="15">
        <v>2632</v>
      </c>
      <c r="E24" s="8">
        <f t="shared" si="1"/>
        <v>40.286120820668692</v>
      </c>
      <c r="F24" s="5">
        <f t="shared" si="2"/>
        <v>12</v>
      </c>
      <c r="G24" s="5">
        <f t="shared" si="3"/>
        <v>2024</v>
      </c>
      <c r="H24" s="6" t="str">
        <f>IF(A24&lt;&gt;" ",G24&amp;"-"&amp;F24&amp;"-"&amp;COUNTIFS($G$2:G24,G24,$F$2:F24,F24)," ")</f>
        <v>2024-12-23</v>
      </c>
      <c r="M24"/>
      <c r="N24"/>
    </row>
    <row r="25" spans="1:15" ht="15" x14ac:dyDescent="0.25">
      <c r="A25" s="10">
        <v>45650</v>
      </c>
      <c r="B25" s="5" t="str">
        <f t="shared" si="0"/>
        <v>terça-feira</v>
      </c>
      <c r="C25" s="12">
        <v>75080.25</v>
      </c>
      <c r="D25" s="15">
        <v>2161</v>
      </c>
      <c r="E25" s="8">
        <f t="shared" si="1"/>
        <v>34.743290143452107</v>
      </c>
      <c r="F25" s="5">
        <f t="shared" si="2"/>
        <v>12</v>
      </c>
      <c r="G25" s="5">
        <f t="shared" si="3"/>
        <v>2024</v>
      </c>
      <c r="H25" s="6" t="str">
        <f>IF(A25&lt;&gt;" ",G25&amp;"-"&amp;F25&amp;"-"&amp;COUNTIFS($G$2:G25,G25,$F$2:F25,F25)," ")</f>
        <v>2024-12-24</v>
      </c>
      <c r="M25"/>
      <c r="N25"/>
    </row>
    <row r="26" spans="1:15" ht="15" x14ac:dyDescent="0.25">
      <c r="A26" s="10">
        <v>45651</v>
      </c>
      <c r="B26" s="5" t="str">
        <f t="shared" si="0"/>
        <v>quarta-feira</v>
      </c>
      <c r="C26" s="12">
        <v>0</v>
      </c>
      <c r="D26" s="15">
        <v>0</v>
      </c>
      <c r="E26" s="8" t="str">
        <f t="shared" si="1"/>
        <v xml:space="preserve"> </v>
      </c>
      <c r="F26" s="5">
        <f t="shared" si="2"/>
        <v>12</v>
      </c>
      <c r="G26" s="5">
        <f t="shared" si="3"/>
        <v>2024</v>
      </c>
      <c r="H26" s="6" t="str">
        <f>IF(A26&lt;&gt;" ",G26&amp;"-"&amp;F26&amp;"-"&amp;COUNTIFS($G$2:G26,G26,$F$2:F26,F26)," ")</f>
        <v>2024-12-25</v>
      </c>
      <c r="M26"/>
      <c r="N26"/>
    </row>
    <row r="27" spans="1:15" ht="15" x14ac:dyDescent="0.25">
      <c r="A27" s="10">
        <v>45652</v>
      </c>
      <c r="B27" s="5" t="str">
        <f t="shared" si="0"/>
        <v>quinta-feira</v>
      </c>
      <c r="C27" s="12">
        <v>20703.7</v>
      </c>
      <c r="D27" s="15">
        <v>851</v>
      </c>
      <c r="E27" s="8">
        <f t="shared" si="1"/>
        <v>24.328672150411283</v>
      </c>
      <c r="F27" s="5">
        <f t="shared" si="2"/>
        <v>12</v>
      </c>
      <c r="G27" s="5">
        <f t="shared" si="3"/>
        <v>2024</v>
      </c>
      <c r="H27" s="6" t="str">
        <f>IF(A27&lt;&gt;" ",G27&amp;"-"&amp;F27&amp;"-"&amp;COUNTIFS($G$2:G27,G27,$F$2:F27,F27)," ")</f>
        <v>2024-12-26</v>
      </c>
      <c r="M27"/>
      <c r="N27"/>
    </row>
    <row r="28" spans="1:15" ht="15" x14ac:dyDescent="0.25">
      <c r="A28" s="10">
        <v>45653</v>
      </c>
      <c r="B28" s="5" t="str">
        <f t="shared" si="0"/>
        <v>sexta-feira</v>
      </c>
      <c r="C28" s="12">
        <v>40150.129999999997</v>
      </c>
      <c r="D28" s="15">
        <v>1500</v>
      </c>
      <c r="E28" s="8">
        <f t="shared" si="1"/>
        <v>26.76675333333333</v>
      </c>
      <c r="F28" s="5">
        <f t="shared" si="2"/>
        <v>12</v>
      </c>
      <c r="G28" s="5">
        <f t="shared" si="3"/>
        <v>2024</v>
      </c>
      <c r="H28" s="6" t="str">
        <f>IF(A28&lt;&gt;" ",G28&amp;"-"&amp;F28&amp;"-"&amp;COUNTIFS($G$2:G28,G28,$F$2:F28,F28)," ")</f>
        <v>2024-12-27</v>
      </c>
      <c r="M28"/>
      <c r="N28"/>
    </row>
    <row r="29" spans="1:15" ht="15" x14ac:dyDescent="0.25">
      <c r="A29" s="10">
        <v>45654</v>
      </c>
      <c r="B29" s="5" t="str">
        <f t="shared" si="0"/>
        <v>sábado</v>
      </c>
      <c r="C29" s="12">
        <v>41714.980000000003</v>
      </c>
      <c r="D29" s="15">
        <v>1567</v>
      </c>
      <c r="E29" s="8">
        <f t="shared" si="1"/>
        <v>26.620918953414169</v>
      </c>
      <c r="F29" s="5">
        <f t="shared" si="2"/>
        <v>12</v>
      </c>
      <c r="G29" s="5">
        <f t="shared" si="3"/>
        <v>2024</v>
      </c>
      <c r="H29" s="6" t="str">
        <f>IF(A29&lt;&gt;" ",G29&amp;"-"&amp;F29&amp;"-"&amp;COUNTIFS($G$2:G29,G29,$F$2:F29,F29)," ")</f>
        <v>2024-12-28</v>
      </c>
      <c r="M29"/>
      <c r="N29"/>
    </row>
    <row r="30" spans="1:15" ht="15" x14ac:dyDescent="0.25">
      <c r="A30" s="10">
        <v>45655</v>
      </c>
      <c r="B30" s="5" t="str">
        <f t="shared" si="0"/>
        <v>domingo</v>
      </c>
      <c r="C30" s="12">
        <v>20968.57</v>
      </c>
      <c r="D30" s="15">
        <v>833</v>
      </c>
      <c r="E30" s="8">
        <f t="shared" si="1"/>
        <v>25.17235294117647</v>
      </c>
      <c r="F30" s="5">
        <f t="shared" si="2"/>
        <v>12</v>
      </c>
      <c r="G30" s="5">
        <f t="shared" si="3"/>
        <v>2024</v>
      </c>
      <c r="H30" s="6" t="str">
        <f>IF(A30&lt;&gt;" ",G30&amp;"-"&amp;F30&amp;"-"&amp;COUNTIFS($G$2:G30,G30,$F$2:F30,F30)," ")</f>
        <v>2024-12-29</v>
      </c>
      <c r="M30"/>
      <c r="N30"/>
    </row>
    <row r="31" spans="1:15" ht="15" x14ac:dyDescent="0.25">
      <c r="A31" s="10">
        <v>45656</v>
      </c>
      <c r="B31" s="5" t="str">
        <f t="shared" si="0"/>
        <v>segunda-feira</v>
      </c>
      <c r="C31" s="12">
        <v>70609.78</v>
      </c>
      <c r="D31" s="15">
        <v>2209</v>
      </c>
      <c r="E31" s="8">
        <f t="shared" si="1"/>
        <v>31.964590312358531</v>
      </c>
      <c r="F31" s="5">
        <f t="shared" si="2"/>
        <v>12</v>
      </c>
      <c r="G31" s="5">
        <f t="shared" si="3"/>
        <v>2024</v>
      </c>
      <c r="H31" s="6" t="str">
        <f>IF(A31&lt;&gt;" ",G31&amp;"-"&amp;F31&amp;"-"&amp;COUNTIFS($G$2:G31,G31,$F$2:F31,F31)," ")</f>
        <v>2024-12-30</v>
      </c>
      <c r="M31"/>
      <c r="N31"/>
    </row>
    <row r="32" spans="1:15" ht="15" x14ac:dyDescent="0.25">
      <c r="A32" s="10">
        <v>45657</v>
      </c>
      <c r="B32" s="5" t="str">
        <f t="shared" si="0"/>
        <v>terça-feira</v>
      </c>
      <c r="C32" s="12">
        <v>66609.86</v>
      </c>
      <c r="D32" s="15">
        <v>1937</v>
      </c>
      <c r="E32" s="8">
        <f t="shared" si="1"/>
        <v>34.388156943727417</v>
      </c>
      <c r="F32" s="5">
        <f t="shared" si="2"/>
        <v>12</v>
      </c>
      <c r="G32" s="5">
        <f t="shared" si="3"/>
        <v>2024</v>
      </c>
      <c r="H32" s="6" t="str">
        <f>IF(A32&lt;&gt;" ",G32&amp;"-"&amp;F32&amp;"-"&amp;COUNTIFS($G$2:G32,G32,$F$2:F32,F32)," ")</f>
        <v>2024-12-31</v>
      </c>
      <c r="M32"/>
      <c r="N32"/>
    </row>
    <row r="33" spans="1:14" ht="15" x14ac:dyDescent="0.25">
      <c r="A33" s="10">
        <v>45658</v>
      </c>
      <c r="B33" s="5" t="str">
        <f t="shared" si="0"/>
        <v>quarta-feira</v>
      </c>
      <c r="C33" s="12">
        <v>0</v>
      </c>
      <c r="D33" s="15">
        <v>0</v>
      </c>
      <c r="E33" s="8" t="str">
        <f t="shared" si="1"/>
        <v xml:space="preserve"> </v>
      </c>
      <c r="F33" s="5">
        <f t="shared" si="2"/>
        <v>1</v>
      </c>
      <c r="G33" s="5">
        <f t="shared" si="3"/>
        <v>2025</v>
      </c>
      <c r="H33" s="6" t="str">
        <f>IF(A33&lt;&gt;" ",G33&amp;"-"&amp;F33&amp;"-"&amp;COUNTIFS($G$2:G33,G33,$F$2:F33,F33)," ")</f>
        <v>2025-1-1</v>
      </c>
      <c r="M33"/>
      <c r="N33"/>
    </row>
    <row r="34" spans="1:14" ht="15" x14ac:dyDescent="0.25">
      <c r="A34" s="10">
        <v>45659</v>
      </c>
      <c r="B34" s="5" t="str">
        <f t="shared" ref="B34:B65" si="4">IF(A34&lt;&gt;" ",TEXT(A34,"dddd")," ")</f>
        <v>quinta-feira</v>
      </c>
      <c r="C34" s="12">
        <v>22090.59</v>
      </c>
      <c r="D34" s="15">
        <v>945</v>
      </c>
      <c r="E34" s="8">
        <f t="shared" ref="E34:E65" si="5">IF(D34&gt;0,C34/D34," ")</f>
        <v>23.376285714285714</v>
      </c>
      <c r="F34" s="5">
        <f t="shared" ref="F34:F65" si="6">IF(A34&lt;&gt;" ",MONTH(A34)," ")</f>
        <v>1</v>
      </c>
      <c r="G34" s="5">
        <f t="shared" ref="G34:G65" si="7">IF(A34&lt;&gt;" ",YEAR(A34)," ")</f>
        <v>2025</v>
      </c>
      <c r="H34" s="6" t="str">
        <f>IF(A34&lt;&gt;" ",G34&amp;"-"&amp;F34&amp;"-"&amp;COUNTIFS($G$2:G34,G34,$F$2:F34,F34)," ")</f>
        <v>2025-1-2</v>
      </c>
      <c r="M34"/>
      <c r="N34"/>
    </row>
    <row r="35" spans="1:14" ht="15" x14ac:dyDescent="0.25">
      <c r="A35" s="10">
        <v>45660</v>
      </c>
      <c r="B35" s="5" t="str">
        <f t="shared" si="4"/>
        <v>sexta-feira</v>
      </c>
      <c r="C35" s="12">
        <v>33701.35</v>
      </c>
      <c r="D35" s="15">
        <v>1396</v>
      </c>
      <c r="E35" s="8">
        <f t="shared" si="5"/>
        <v>24.141368194842407</v>
      </c>
      <c r="F35" s="5">
        <f t="shared" si="6"/>
        <v>1</v>
      </c>
      <c r="G35" s="5">
        <f t="shared" si="7"/>
        <v>2025</v>
      </c>
      <c r="H35" s="6" t="str">
        <f>IF(A35&lt;&gt;" ",G35&amp;"-"&amp;F35&amp;"-"&amp;COUNTIFS($G$2:G35,G35,$F$2:F35,F35)," ")</f>
        <v>2025-1-3</v>
      </c>
      <c r="M35"/>
      <c r="N35"/>
    </row>
    <row r="36" spans="1:14" ht="15" x14ac:dyDescent="0.25">
      <c r="A36" s="10">
        <v>45661</v>
      </c>
      <c r="B36" s="5" t="str">
        <f t="shared" si="4"/>
        <v>sábado</v>
      </c>
      <c r="C36" s="12">
        <v>31171.98</v>
      </c>
      <c r="D36" s="15">
        <v>1254</v>
      </c>
      <c r="E36" s="8">
        <f t="shared" si="5"/>
        <v>24.858038277511962</v>
      </c>
      <c r="F36" s="5">
        <f t="shared" si="6"/>
        <v>1</v>
      </c>
      <c r="G36" s="5">
        <f t="shared" si="7"/>
        <v>2025</v>
      </c>
      <c r="H36" s="6" t="str">
        <f>IF(A36&lt;&gt;" ",G36&amp;"-"&amp;F36&amp;"-"&amp;COUNTIFS($G$2:G36,G36,$F$2:F36,F36)," ")</f>
        <v>2025-1-4</v>
      </c>
      <c r="M36"/>
      <c r="N36"/>
    </row>
    <row r="37" spans="1:14" ht="15" x14ac:dyDescent="0.25">
      <c r="A37" s="10">
        <v>45662</v>
      </c>
      <c r="B37" s="5" t="str">
        <f t="shared" si="4"/>
        <v>domingo</v>
      </c>
      <c r="C37" s="12">
        <v>13486.51</v>
      </c>
      <c r="D37" s="15">
        <v>619</v>
      </c>
      <c r="E37" s="8">
        <f t="shared" si="5"/>
        <v>21.787576736672051</v>
      </c>
      <c r="F37" s="5">
        <f t="shared" si="6"/>
        <v>1</v>
      </c>
      <c r="G37" s="5">
        <f t="shared" si="7"/>
        <v>2025</v>
      </c>
      <c r="H37" s="6" t="str">
        <f>IF(A37&lt;&gt;" ",G37&amp;"-"&amp;F37&amp;"-"&amp;COUNTIFS($G$2:G37,G37,$F$2:F37,F37)," ")</f>
        <v>2025-1-5</v>
      </c>
      <c r="M37"/>
      <c r="N37"/>
    </row>
    <row r="38" spans="1:14" ht="15" x14ac:dyDescent="0.25">
      <c r="A38" s="10">
        <v>45663</v>
      </c>
      <c r="B38" s="5" t="str">
        <f t="shared" si="4"/>
        <v>segunda-feira</v>
      </c>
      <c r="C38" s="12">
        <v>33217.339999999997</v>
      </c>
      <c r="D38" s="15">
        <v>1374</v>
      </c>
      <c r="E38" s="8">
        <f t="shared" si="5"/>
        <v>24.175647743813681</v>
      </c>
      <c r="F38" s="5">
        <f t="shared" si="6"/>
        <v>1</v>
      </c>
      <c r="G38" s="5">
        <f t="shared" si="7"/>
        <v>2025</v>
      </c>
      <c r="H38" s="6" t="str">
        <f>IF(A38&lt;&gt;" ",G38&amp;"-"&amp;F38&amp;"-"&amp;COUNTIFS($G$2:G38,G38,$F$2:F38,F38)," ")</f>
        <v>2025-1-6</v>
      </c>
      <c r="M38"/>
      <c r="N38"/>
    </row>
    <row r="39" spans="1:14" ht="15" x14ac:dyDescent="0.25">
      <c r="A39" s="10">
        <v>45664</v>
      </c>
      <c r="B39" s="5" t="str">
        <f t="shared" si="4"/>
        <v>terça-feira</v>
      </c>
      <c r="C39" s="12">
        <v>41567.33</v>
      </c>
      <c r="D39" s="15">
        <v>1609</v>
      </c>
      <c r="E39" s="8">
        <f t="shared" si="5"/>
        <v>25.834263517712866</v>
      </c>
      <c r="F39" s="5">
        <f t="shared" si="6"/>
        <v>1</v>
      </c>
      <c r="G39" s="5">
        <f t="shared" si="7"/>
        <v>2025</v>
      </c>
      <c r="H39" s="6" t="str">
        <f>IF(A39&lt;&gt;" ",G39&amp;"-"&amp;F39&amp;"-"&amp;COUNTIFS($G$2:G39,G39,$F$2:F39,F39)," ")</f>
        <v>2025-1-7</v>
      </c>
      <c r="M39"/>
      <c r="N39"/>
    </row>
    <row r="40" spans="1:14" ht="15" x14ac:dyDescent="0.25">
      <c r="A40" s="10">
        <v>45665</v>
      </c>
      <c r="B40" s="5" t="str">
        <f t="shared" si="4"/>
        <v>quarta-feira</v>
      </c>
      <c r="C40" s="12">
        <v>37645.769999999997</v>
      </c>
      <c r="D40" s="15">
        <v>1523</v>
      </c>
      <c r="E40" s="8">
        <f t="shared" si="5"/>
        <v>24.718168089297436</v>
      </c>
      <c r="F40" s="5">
        <f t="shared" si="6"/>
        <v>1</v>
      </c>
      <c r="G40" s="5">
        <f t="shared" si="7"/>
        <v>2025</v>
      </c>
      <c r="H40" s="6" t="str">
        <f>IF(A40&lt;&gt;" ",G40&amp;"-"&amp;F40&amp;"-"&amp;COUNTIFS($G$2:G40,G40,$F$2:F40,F40)," ")</f>
        <v>2025-1-8</v>
      </c>
      <c r="M40"/>
      <c r="N40"/>
    </row>
    <row r="41" spans="1:14" ht="15" x14ac:dyDescent="0.25">
      <c r="A41" s="10">
        <v>45666</v>
      </c>
      <c r="B41" s="5" t="str">
        <f t="shared" si="4"/>
        <v>quinta-feira</v>
      </c>
      <c r="C41" s="12">
        <v>33627.269999999997</v>
      </c>
      <c r="D41" s="15">
        <v>1385</v>
      </c>
      <c r="E41" s="8">
        <f t="shared" si="5"/>
        <v>24.279617328519855</v>
      </c>
      <c r="F41" s="5">
        <f t="shared" si="6"/>
        <v>1</v>
      </c>
      <c r="G41" s="5">
        <f t="shared" si="7"/>
        <v>2025</v>
      </c>
      <c r="H41" s="6" t="str">
        <f>IF(A41&lt;&gt;" ",G41&amp;"-"&amp;F41&amp;"-"&amp;COUNTIFS($G$2:G41,G41,$F$2:F41,F41)," ")</f>
        <v>2025-1-9</v>
      </c>
      <c r="M41"/>
      <c r="N41"/>
    </row>
    <row r="42" spans="1:14" ht="15" x14ac:dyDescent="0.25">
      <c r="A42" s="10">
        <v>45667</v>
      </c>
      <c r="B42" s="5" t="str">
        <f t="shared" si="4"/>
        <v>sexta-feira</v>
      </c>
      <c r="C42" s="12">
        <v>45806.89</v>
      </c>
      <c r="D42" s="15">
        <v>1689</v>
      </c>
      <c r="E42" s="8">
        <f t="shared" si="5"/>
        <v>27.120716400236827</v>
      </c>
      <c r="F42" s="5">
        <f t="shared" si="6"/>
        <v>1</v>
      </c>
      <c r="G42" s="5">
        <f t="shared" si="7"/>
        <v>2025</v>
      </c>
      <c r="H42" s="6" t="str">
        <f>IF(A42&lt;&gt;" ",G42&amp;"-"&amp;F42&amp;"-"&amp;COUNTIFS($G$2:G42,G42,$F$2:F42,F42)," ")</f>
        <v>2025-1-10</v>
      </c>
      <c r="M42"/>
      <c r="N42"/>
    </row>
    <row r="43" spans="1:14" ht="15" x14ac:dyDescent="0.25">
      <c r="A43" s="10">
        <v>45668</v>
      </c>
      <c r="B43" s="5" t="str">
        <f t="shared" si="4"/>
        <v>sábado</v>
      </c>
      <c r="C43" s="12">
        <v>39706.75</v>
      </c>
      <c r="D43" s="15">
        <v>1479</v>
      </c>
      <c r="E43" s="8">
        <f t="shared" si="5"/>
        <v>26.847025016903313</v>
      </c>
      <c r="F43" s="5">
        <f t="shared" si="6"/>
        <v>1</v>
      </c>
      <c r="G43" s="5">
        <f t="shared" si="7"/>
        <v>2025</v>
      </c>
      <c r="H43" s="6" t="str">
        <f>IF(A43&lt;&gt;" ",G43&amp;"-"&amp;F43&amp;"-"&amp;COUNTIFS($G$2:G43,G43,$F$2:F43,F43)," ")</f>
        <v>2025-1-11</v>
      </c>
      <c r="M43"/>
      <c r="N43"/>
    </row>
    <row r="44" spans="1:14" ht="15" x14ac:dyDescent="0.25">
      <c r="A44" s="10">
        <v>45669</v>
      </c>
      <c r="B44" s="5" t="str">
        <f t="shared" si="4"/>
        <v>domingo</v>
      </c>
      <c r="C44" s="12">
        <v>12372.89</v>
      </c>
      <c r="D44" s="15">
        <v>567</v>
      </c>
      <c r="E44" s="8">
        <f t="shared" si="5"/>
        <v>21.821675485008818</v>
      </c>
      <c r="F44" s="5">
        <f t="shared" si="6"/>
        <v>1</v>
      </c>
      <c r="G44" s="5">
        <f t="shared" si="7"/>
        <v>2025</v>
      </c>
      <c r="H44" s="6" t="str">
        <f>IF(A44&lt;&gt;" ",G44&amp;"-"&amp;F44&amp;"-"&amp;COUNTIFS($G$2:G44,G44,$F$2:F44,F44)," ")</f>
        <v>2025-1-12</v>
      </c>
      <c r="M44"/>
      <c r="N44"/>
    </row>
    <row r="45" spans="1:14" ht="15" x14ac:dyDescent="0.25">
      <c r="A45" s="10">
        <v>45670</v>
      </c>
      <c r="B45" s="5" t="str">
        <f t="shared" si="4"/>
        <v>segunda-feira</v>
      </c>
      <c r="C45" s="12">
        <v>32771.25</v>
      </c>
      <c r="D45" s="15">
        <v>1320</v>
      </c>
      <c r="E45" s="8">
        <f t="shared" si="5"/>
        <v>24.826704545454547</v>
      </c>
      <c r="F45" s="5">
        <f t="shared" si="6"/>
        <v>1</v>
      </c>
      <c r="G45" s="5">
        <f t="shared" si="7"/>
        <v>2025</v>
      </c>
      <c r="H45" s="6" t="str">
        <f>IF(A45&lt;&gt;" ",G45&amp;"-"&amp;F45&amp;"-"&amp;COUNTIFS($G$2:G45,G45,$F$2:F45,F45)," ")</f>
        <v>2025-1-13</v>
      </c>
      <c r="M45"/>
      <c r="N45"/>
    </row>
    <row r="46" spans="1:14" ht="15" x14ac:dyDescent="0.25">
      <c r="A46" s="10">
        <v>45671</v>
      </c>
      <c r="B46" s="5" t="str">
        <f t="shared" si="4"/>
        <v>terça-feira</v>
      </c>
      <c r="C46" s="12">
        <v>33574.07</v>
      </c>
      <c r="D46" s="15">
        <v>1473</v>
      </c>
      <c r="E46" s="8">
        <f t="shared" si="5"/>
        <v>22.792987101154107</v>
      </c>
      <c r="F46" s="5">
        <f t="shared" si="6"/>
        <v>1</v>
      </c>
      <c r="G46" s="5">
        <f t="shared" si="7"/>
        <v>2025</v>
      </c>
      <c r="H46" s="6" t="str">
        <f>IF(A46&lt;&gt;" ",G46&amp;"-"&amp;F46&amp;"-"&amp;COUNTIFS($G$2:G46,G46,$F$2:F46,F46)," ")</f>
        <v>2025-1-14</v>
      </c>
      <c r="M46"/>
      <c r="N46"/>
    </row>
    <row r="47" spans="1:14" ht="15" x14ac:dyDescent="0.25">
      <c r="A47" s="10">
        <v>45672</v>
      </c>
      <c r="B47" s="5" t="str">
        <f t="shared" si="4"/>
        <v>quarta-feira</v>
      </c>
      <c r="C47" s="12">
        <v>31036.46</v>
      </c>
      <c r="D47" s="15">
        <v>1379</v>
      </c>
      <c r="E47" s="8">
        <f t="shared" si="5"/>
        <v>22.506497461928934</v>
      </c>
      <c r="F47" s="5">
        <f t="shared" si="6"/>
        <v>1</v>
      </c>
      <c r="G47" s="5">
        <f t="shared" si="7"/>
        <v>2025</v>
      </c>
      <c r="H47" s="6" t="str">
        <f>IF(A47&lt;&gt;" ",G47&amp;"-"&amp;F47&amp;"-"&amp;COUNTIFS($G$2:G47,G47,$F$2:F47,F47)," ")</f>
        <v>2025-1-15</v>
      </c>
      <c r="M47"/>
    </row>
    <row r="48" spans="1:14" ht="15" x14ac:dyDescent="0.25">
      <c r="A48" s="10">
        <v>45673</v>
      </c>
      <c r="B48" s="5" t="str">
        <f t="shared" si="4"/>
        <v>quinta-feira</v>
      </c>
      <c r="C48" s="12">
        <v>38070.980000000003</v>
      </c>
      <c r="D48" s="15">
        <v>1541</v>
      </c>
      <c r="E48" s="8">
        <f t="shared" si="5"/>
        <v>24.705373134328362</v>
      </c>
      <c r="F48" s="5">
        <f t="shared" si="6"/>
        <v>1</v>
      </c>
      <c r="G48" s="5">
        <f t="shared" si="7"/>
        <v>2025</v>
      </c>
      <c r="H48" s="6" t="str">
        <f>IF(A48&lt;&gt;" ",G48&amp;"-"&amp;F48&amp;"-"&amp;COUNTIFS($G$2:G48,G48,$F$2:F48,F48)," ")</f>
        <v>2025-1-16</v>
      </c>
      <c r="M48"/>
    </row>
    <row r="49" spans="1:13" ht="15" x14ac:dyDescent="0.25">
      <c r="A49" s="10">
        <v>45674</v>
      </c>
      <c r="B49" s="5" t="str">
        <f t="shared" si="4"/>
        <v>sexta-feira</v>
      </c>
      <c r="C49" s="12">
        <v>40580.949999999997</v>
      </c>
      <c r="D49" s="15">
        <v>1647</v>
      </c>
      <c r="E49" s="8">
        <f t="shared" si="5"/>
        <v>24.639313904068</v>
      </c>
      <c r="F49" s="5">
        <f t="shared" si="6"/>
        <v>1</v>
      </c>
      <c r="G49" s="5">
        <f t="shared" si="7"/>
        <v>2025</v>
      </c>
      <c r="H49" s="6" t="str">
        <f>IF(A49&lt;&gt;" ",G49&amp;"-"&amp;F49&amp;"-"&amp;COUNTIFS($G$2:G49,G49,$F$2:F49,F49)," ")</f>
        <v>2025-1-17</v>
      </c>
      <c r="M49"/>
    </row>
    <row r="50" spans="1:13" ht="15" x14ac:dyDescent="0.25">
      <c r="A50" s="10">
        <v>45675</v>
      </c>
      <c r="B50" s="5" t="str">
        <f t="shared" si="4"/>
        <v>sábado</v>
      </c>
      <c r="C50" s="12">
        <v>33494.129999999997</v>
      </c>
      <c r="D50" s="15">
        <v>1413</v>
      </c>
      <c r="E50" s="8">
        <f t="shared" si="5"/>
        <v>23.704267515923565</v>
      </c>
      <c r="F50" s="5">
        <f t="shared" si="6"/>
        <v>1</v>
      </c>
      <c r="G50" s="5">
        <f t="shared" si="7"/>
        <v>2025</v>
      </c>
      <c r="H50" s="6" t="str">
        <f>IF(A50&lt;&gt;" ",G50&amp;"-"&amp;F50&amp;"-"&amp;COUNTIFS($G$2:G50,G50,$F$2:F50,F50)," ")</f>
        <v>2025-1-18</v>
      </c>
      <c r="M50"/>
    </row>
    <row r="51" spans="1:13" ht="15" x14ac:dyDescent="0.25">
      <c r="A51" s="10">
        <v>45676</v>
      </c>
      <c r="B51" s="5" t="str">
        <f t="shared" si="4"/>
        <v>domingo</v>
      </c>
      <c r="C51" s="12">
        <v>12016.3</v>
      </c>
      <c r="D51" s="15">
        <v>631</v>
      </c>
      <c r="E51" s="8">
        <f t="shared" si="5"/>
        <v>19.043264659270996</v>
      </c>
      <c r="F51" s="5">
        <f t="shared" si="6"/>
        <v>1</v>
      </c>
      <c r="G51" s="5">
        <f t="shared" si="7"/>
        <v>2025</v>
      </c>
      <c r="H51" s="6" t="str">
        <f>IF(A51&lt;&gt;" ",G51&amp;"-"&amp;F51&amp;"-"&amp;COUNTIFS($G$2:G51,G51,$F$2:F51,F51)," ")</f>
        <v>2025-1-19</v>
      </c>
      <c r="M51"/>
    </row>
    <row r="52" spans="1:13" ht="15" x14ac:dyDescent="0.25">
      <c r="A52" s="10">
        <v>45677</v>
      </c>
      <c r="B52" s="5" t="str">
        <f t="shared" si="4"/>
        <v>segunda-feira</v>
      </c>
      <c r="C52" s="12">
        <v>34399.22</v>
      </c>
      <c r="D52" s="15">
        <v>1436</v>
      </c>
      <c r="E52" s="8">
        <f t="shared" si="5"/>
        <v>23.954888579387188</v>
      </c>
      <c r="F52" s="5">
        <f t="shared" si="6"/>
        <v>1</v>
      </c>
      <c r="G52" s="5">
        <f t="shared" si="7"/>
        <v>2025</v>
      </c>
      <c r="H52" s="6" t="str">
        <f>IF(A52&lt;&gt;" ",G52&amp;"-"&amp;F52&amp;"-"&amp;COUNTIFS($G$2:G52,G52,$F$2:F52,F52)," ")</f>
        <v>2025-1-20</v>
      </c>
      <c r="M52"/>
    </row>
    <row r="53" spans="1:13" ht="15" x14ac:dyDescent="0.25">
      <c r="A53" s="10">
        <v>45678</v>
      </c>
      <c r="B53" s="5" t="str">
        <f t="shared" si="4"/>
        <v>terça-feira</v>
      </c>
      <c r="C53" s="12">
        <v>39566.800000000003</v>
      </c>
      <c r="D53" s="15">
        <v>1678</v>
      </c>
      <c r="E53" s="8">
        <f t="shared" si="5"/>
        <v>23.579737783075092</v>
      </c>
      <c r="F53" s="5">
        <f t="shared" si="6"/>
        <v>1</v>
      </c>
      <c r="G53" s="5">
        <f t="shared" si="7"/>
        <v>2025</v>
      </c>
      <c r="H53" s="6" t="str">
        <f>IF(A53&lt;&gt;" ",G53&amp;"-"&amp;F53&amp;"-"&amp;COUNTIFS($G$2:G53,G53,$F$2:F53,F53)," ")</f>
        <v>2025-1-21</v>
      </c>
      <c r="M53"/>
    </row>
    <row r="54" spans="1:13" ht="15" x14ac:dyDescent="0.25">
      <c r="A54" s="10">
        <v>45679</v>
      </c>
      <c r="B54" s="5" t="str">
        <f t="shared" si="4"/>
        <v>quarta-feira</v>
      </c>
      <c r="C54" s="12">
        <v>39385.839999999997</v>
      </c>
      <c r="D54" s="15">
        <v>1594</v>
      </c>
      <c r="E54" s="8">
        <f t="shared" si="5"/>
        <v>24.70880803011292</v>
      </c>
      <c r="F54" s="5">
        <f t="shared" si="6"/>
        <v>1</v>
      </c>
      <c r="G54" s="5">
        <f t="shared" si="7"/>
        <v>2025</v>
      </c>
      <c r="H54" s="6" t="str">
        <f>IF(A54&lt;&gt;" ",G54&amp;"-"&amp;F54&amp;"-"&amp;COUNTIFS($G$2:G54,G54,$F$2:F54,F54)," ")</f>
        <v>2025-1-22</v>
      </c>
      <c r="M54"/>
    </row>
    <row r="55" spans="1:13" ht="15" x14ac:dyDescent="0.25">
      <c r="A55" s="10">
        <v>45680</v>
      </c>
      <c r="B55" s="5" t="str">
        <f t="shared" si="4"/>
        <v>quinta-feira</v>
      </c>
      <c r="C55" s="12">
        <v>49386.06</v>
      </c>
      <c r="D55" s="15">
        <v>1676</v>
      </c>
      <c r="E55" s="8">
        <f t="shared" si="5"/>
        <v>29.466622911694511</v>
      </c>
      <c r="F55" s="5">
        <f t="shared" si="6"/>
        <v>1</v>
      </c>
      <c r="G55" s="5">
        <f t="shared" si="7"/>
        <v>2025</v>
      </c>
      <c r="H55" s="6" t="str">
        <f>IF(A55&lt;&gt;" ",G55&amp;"-"&amp;F55&amp;"-"&amp;COUNTIFS($G$2:G55,G55,$F$2:F55,F55)," ")</f>
        <v>2025-1-23</v>
      </c>
      <c r="M55"/>
    </row>
    <row r="56" spans="1:13" ht="15" x14ac:dyDescent="0.25">
      <c r="A56" s="10">
        <v>45681</v>
      </c>
      <c r="B56" s="5" t="str">
        <f t="shared" si="4"/>
        <v>sexta-feira</v>
      </c>
      <c r="C56" s="12">
        <v>44102.36</v>
      </c>
      <c r="D56" s="15">
        <v>1678</v>
      </c>
      <c r="E56" s="8">
        <f t="shared" si="5"/>
        <v>26.282693682955902</v>
      </c>
      <c r="F56" s="5">
        <f t="shared" si="6"/>
        <v>1</v>
      </c>
      <c r="G56" s="5">
        <f t="shared" si="7"/>
        <v>2025</v>
      </c>
      <c r="H56" s="6" t="str">
        <f>IF(A56&lt;&gt;" ",G56&amp;"-"&amp;F56&amp;"-"&amp;COUNTIFS($G$2:G56,G56,$F$2:F56,F56)," ")</f>
        <v>2025-1-24</v>
      </c>
      <c r="M56"/>
    </row>
    <row r="57" spans="1:13" ht="15" x14ac:dyDescent="0.25">
      <c r="A57" s="10">
        <v>45682</v>
      </c>
      <c r="B57" s="5" t="str">
        <f t="shared" si="4"/>
        <v>sábado</v>
      </c>
      <c r="C57" s="12">
        <v>39866.230000000003</v>
      </c>
      <c r="D57" s="15">
        <v>1531</v>
      </c>
      <c r="E57" s="8">
        <f t="shared" si="5"/>
        <v>26.039340300457219</v>
      </c>
      <c r="F57" s="5">
        <f t="shared" si="6"/>
        <v>1</v>
      </c>
      <c r="G57" s="5">
        <f t="shared" si="7"/>
        <v>2025</v>
      </c>
      <c r="H57" s="6" t="str">
        <f>IF(A57&lt;&gt;" ",G57&amp;"-"&amp;F57&amp;"-"&amp;COUNTIFS($G$2:G57,G57,$F$2:F57,F57)," ")</f>
        <v>2025-1-25</v>
      </c>
      <c r="M57"/>
    </row>
    <row r="58" spans="1:13" ht="15" x14ac:dyDescent="0.25">
      <c r="A58" s="10">
        <v>45683</v>
      </c>
      <c r="B58" s="5" t="str">
        <f t="shared" si="4"/>
        <v>domingo</v>
      </c>
      <c r="C58" s="12">
        <v>12453.43</v>
      </c>
      <c r="D58" s="15">
        <v>598</v>
      </c>
      <c r="E58" s="8">
        <f t="shared" si="5"/>
        <v>20.825133779264213</v>
      </c>
      <c r="F58" s="5">
        <f t="shared" si="6"/>
        <v>1</v>
      </c>
      <c r="G58" s="5">
        <f t="shared" si="7"/>
        <v>2025</v>
      </c>
      <c r="H58" s="6" t="str">
        <f>IF(A58&lt;&gt;" ",G58&amp;"-"&amp;F58&amp;"-"&amp;COUNTIFS($G$2:G58,G58,$F$2:F58,F58)," ")</f>
        <v>2025-1-26</v>
      </c>
      <c r="M58"/>
    </row>
    <row r="59" spans="1:13" ht="15" x14ac:dyDescent="0.25">
      <c r="A59" s="10">
        <v>45684</v>
      </c>
      <c r="B59" s="5" t="str">
        <f t="shared" si="4"/>
        <v>segunda-feira</v>
      </c>
      <c r="C59" s="12">
        <v>29914.09</v>
      </c>
      <c r="D59" s="15">
        <v>1303</v>
      </c>
      <c r="E59" s="8">
        <f t="shared" si="5"/>
        <v>22.957858787413659</v>
      </c>
      <c r="F59" s="5">
        <f t="shared" si="6"/>
        <v>1</v>
      </c>
      <c r="G59" s="5">
        <f t="shared" si="7"/>
        <v>2025</v>
      </c>
      <c r="H59" s="6" t="str">
        <f>IF(A59&lt;&gt;" ",G59&amp;"-"&amp;F59&amp;"-"&amp;COUNTIFS($G$2:G59,G59,$F$2:F59,F59)," ")</f>
        <v>2025-1-27</v>
      </c>
      <c r="M59"/>
    </row>
    <row r="60" spans="1:13" ht="15" x14ac:dyDescent="0.25">
      <c r="A60" s="10">
        <v>45685</v>
      </c>
      <c r="B60" s="5" t="str">
        <f t="shared" si="4"/>
        <v>terça-feira</v>
      </c>
      <c r="C60" s="12">
        <v>38210.51</v>
      </c>
      <c r="D60" s="15">
        <v>1552</v>
      </c>
      <c r="E60" s="8">
        <f t="shared" si="5"/>
        <v>24.620173969072166</v>
      </c>
      <c r="F60" s="5">
        <f t="shared" si="6"/>
        <v>1</v>
      </c>
      <c r="G60" s="5">
        <f t="shared" si="7"/>
        <v>2025</v>
      </c>
      <c r="H60" s="6" t="str">
        <f>IF(A60&lt;&gt;" ",G60&amp;"-"&amp;F60&amp;"-"&amp;COUNTIFS($G$2:G60,G60,$F$2:F60,F60)," ")</f>
        <v>2025-1-28</v>
      </c>
      <c r="M60"/>
    </row>
    <row r="61" spans="1:13" ht="15" x14ac:dyDescent="0.25">
      <c r="A61" s="10">
        <v>45686</v>
      </c>
      <c r="B61" s="5" t="str">
        <f t="shared" si="4"/>
        <v>quarta-feira</v>
      </c>
      <c r="C61" s="12">
        <v>37925.35</v>
      </c>
      <c r="D61" s="15">
        <v>1551</v>
      </c>
      <c r="E61" s="8">
        <f t="shared" si="5"/>
        <v>24.452192134107026</v>
      </c>
      <c r="F61" s="5">
        <f t="shared" si="6"/>
        <v>1</v>
      </c>
      <c r="G61" s="5">
        <f t="shared" si="7"/>
        <v>2025</v>
      </c>
      <c r="H61" s="6" t="str">
        <f>IF(A61&lt;&gt;" ",G61&amp;"-"&amp;F61&amp;"-"&amp;COUNTIFS($G$2:G61,G61,$F$2:F61,F61)," ")</f>
        <v>2025-1-29</v>
      </c>
      <c r="M61"/>
    </row>
    <row r="62" spans="1:13" ht="15" x14ac:dyDescent="0.25">
      <c r="A62" s="10">
        <v>45687</v>
      </c>
      <c r="B62" s="5" t="str">
        <f t="shared" si="4"/>
        <v>quinta-feira</v>
      </c>
      <c r="C62" s="12">
        <v>40415.75</v>
      </c>
      <c r="D62" s="15">
        <v>1483</v>
      </c>
      <c r="E62" s="8">
        <f t="shared" si="5"/>
        <v>27.252697235333784</v>
      </c>
      <c r="F62" s="5">
        <f t="shared" si="6"/>
        <v>1</v>
      </c>
      <c r="G62" s="5">
        <f t="shared" si="7"/>
        <v>2025</v>
      </c>
      <c r="H62" s="6" t="str">
        <f>IF(A62&lt;&gt;" ",G62&amp;"-"&amp;F62&amp;"-"&amp;COUNTIFS($G$2:G62,G62,$F$2:F62,F62)," ")</f>
        <v>2025-1-30</v>
      </c>
      <c r="M62"/>
    </row>
    <row r="63" spans="1:13" ht="15" x14ac:dyDescent="0.25">
      <c r="A63" s="10">
        <v>45688</v>
      </c>
      <c r="B63" s="5" t="str">
        <f t="shared" si="4"/>
        <v>sexta-feira</v>
      </c>
      <c r="C63" s="12">
        <v>51026.76</v>
      </c>
      <c r="D63" s="15">
        <v>1760</v>
      </c>
      <c r="E63" s="8">
        <f t="shared" si="5"/>
        <v>28.992477272727275</v>
      </c>
      <c r="F63" s="5">
        <f t="shared" si="6"/>
        <v>1</v>
      </c>
      <c r="G63" s="5">
        <f t="shared" si="7"/>
        <v>2025</v>
      </c>
      <c r="H63" s="6" t="str">
        <f>IF(A63&lt;&gt;" ",G63&amp;"-"&amp;F63&amp;"-"&amp;COUNTIFS($G$2:G63,G63,$F$2:F63,F63)," ")</f>
        <v>2025-1-31</v>
      </c>
      <c r="M63"/>
    </row>
    <row r="64" spans="1:13" ht="15" x14ac:dyDescent="0.25">
      <c r="A64" s="10">
        <v>45689</v>
      </c>
      <c r="B64" s="5" t="str">
        <f t="shared" si="4"/>
        <v>sábado</v>
      </c>
      <c r="C64" s="12">
        <v>50983.01</v>
      </c>
      <c r="D64" s="15">
        <v>1725</v>
      </c>
      <c r="E64" s="8">
        <f t="shared" si="5"/>
        <v>29.555368115942031</v>
      </c>
      <c r="F64" s="5">
        <f t="shared" si="6"/>
        <v>2</v>
      </c>
      <c r="G64" s="5">
        <f t="shared" si="7"/>
        <v>2025</v>
      </c>
      <c r="H64" s="6" t="str">
        <f>IF(A64&lt;&gt;" ",G64&amp;"-"&amp;F64&amp;"-"&amp;COUNTIFS($G$2:G64,G64,$F$2:F64,F64)," ")</f>
        <v>2025-2-1</v>
      </c>
      <c r="M64"/>
    </row>
    <row r="65" spans="1:13" ht="15" x14ac:dyDescent="0.25">
      <c r="A65" s="10">
        <v>45690</v>
      </c>
      <c r="B65" s="5" t="str">
        <f t="shared" si="4"/>
        <v>domingo</v>
      </c>
      <c r="C65" s="12">
        <v>14706.77</v>
      </c>
      <c r="D65" s="15">
        <v>582</v>
      </c>
      <c r="E65" s="8">
        <f t="shared" si="5"/>
        <v>25.269364261168384</v>
      </c>
      <c r="F65" s="5">
        <f t="shared" si="6"/>
        <v>2</v>
      </c>
      <c r="G65" s="5">
        <f t="shared" si="7"/>
        <v>2025</v>
      </c>
      <c r="H65" s="6" t="str">
        <f>IF(A65&lt;&gt;" ",G65&amp;"-"&amp;F65&amp;"-"&amp;COUNTIFS($G$2:G65,G65,$F$2:F65,F65)," ")</f>
        <v>2025-2-2</v>
      </c>
      <c r="M65"/>
    </row>
    <row r="66" spans="1:13" ht="15" x14ac:dyDescent="0.25">
      <c r="A66" s="10">
        <v>45691</v>
      </c>
      <c r="B66" s="5" t="str">
        <f t="shared" ref="B66:B97" si="8">IF(A66&lt;&gt;" ",TEXT(A66,"dddd")," ")</f>
        <v>segunda-feira</v>
      </c>
      <c r="C66" s="12">
        <v>35064.69</v>
      </c>
      <c r="D66" s="15">
        <v>1527</v>
      </c>
      <c r="E66" s="8">
        <f t="shared" ref="E66:E97" si="9">IF(D66&gt;0,C66/D66," ")</f>
        <v>22.963123772102161</v>
      </c>
      <c r="F66" s="5">
        <f t="shared" ref="F66:F97" si="10">IF(A66&lt;&gt;" ",MONTH(A66)," ")</f>
        <v>2</v>
      </c>
      <c r="G66" s="5">
        <f t="shared" ref="G66:G97" si="11">IF(A66&lt;&gt;" ",YEAR(A66)," ")</f>
        <v>2025</v>
      </c>
      <c r="H66" s="6" t="str">
        <f>IF(A66&lt;&gt;" ",G66&amp;"-"&amp;F66&amp;"-"&amp;COUNTIFS($G$2:G66,G66,$F$2:F66,F66)," ")</f>
        <v>2025-2-3</v>
      </c>
      <c r="M66"/>
    </row>
    <row r="67" spans="1:13" ht="15" x14ac:dyDescent="0.25">
      <c r="A67" s="10">
        <v>45692</v>
      </c>
      <c r="B67" s="5" t="str">
        <f t="shared" si="8"/>
        <v>terça-feira</v>
      </c>
      <c r="C67" s="12">
        <v>48219.46</v>
      </c>
      <c r="D67" s="15">
        <v>1850</v>
      </c>
      <c r="E67" s="8">
        <f t="shared" si="9"/>
        <v>26.064572972972972</v>
      </c>
      <c r="F67" s="5">
        <f t="shared" si="10"/>
        <v>2</v>
      </c>
      <c r="G67" s="5">
        <f t="shared" si="11"/>
        <v>2025</v>
      </c>
      <c r="H67" s="6" t="str">
        <f>IF(A67&lt;&gt;" ",G67&amp;"-"&amp;F67&amp;"-"&amp;COUNTIFS($G$2:G67,G67,$F$2:F67,F67)," ")</f>
        <v>2025-2-4</v>
      </c>
      <c r="M67"/>
    </row>
    <row r="68" spans="1:13" ht="15" x14ac:dyDescent="0.25">
      <c r="A68" s="10">
        <v>45693</v>
      </c>
      <c r="B68" s="5" t="str">
        <f t="shared" si="8"/>
        <v>quarta-feira</v>
      </c>
      <c r="C68" s="12">
        <v>49063.360000000001</v>
      </c>
      <c r="D68" s="15">
        <v>1835</v>
      </c>
      <c r="E68" s="8">
        <f t="shared" si="9"/>
        <v>26.737525885558583</v>
      </c>
      <c r="F68" s="5">
        <f t="shared" si="10"/>
        <v>2</v>
      </c>
      <c r="G68" s="5">
        <f t="shared" si="11"/>
        <v>2025</v>
      </c>
      <c r="H68" s="6" t="str">
        <f>IF(A68&lt;&gt;" ",G68&amp;"-"&amp;F68&amp;"-"&amp;COUNTIFS($G$2:G68,G68,$F$2:F68,F68)," ")</f>
        <v>2025-2-5</v>
      </c>
      <c r="M68"/>
    </row>
    <row r="69" spans="1:13" ht="15" x14ac:dyDescent="0.25">
      <c r="A69" s="10">
        <v>45694</v>
      </c>
      <c r="B69" s="5" t="str">
        <f t="shared" si="8"/>
        <v>quinta-feira</v>
      </c>
      <c r="C69" s="12">
        <v>46736.800000000003</v>
      </c>
      <c r="D69" s="15">
        <v>1774</v>
      </c>
      <c r="E69" s="8">
        <f t="shared" si="9"/>
        <v>26.345434047350622</v>
      </c>
      <c r="F69" s="5">
        <f t="shared" si="10"/>
        <v>2</v>
      </c>
      <c r="G69" s="5">
        <f t="shared" si="11"/>
        <v>2025</v>
      </c>
      <c r="H69" s="6" t="str">
        <f>IF(A69&lt;&gt;" ",G69&amp;"-"&amp;F69&amp;"-"&amp;COUNTIFS($G$2:G69,G69,$F$2:F69,F69)," ")</f>
        <v>2025-2-6</v>
      </c>
      <c r="M69"/>
    </row>
    <row r="70" spans="1:13" ht="15" x14ac:dyDescent="0.25">
      <c r="A70" s="10">
        <v>45695</v>
      </c>
      <c r="B70" s="5" t="str">
        <f t="shared" si="8"/>
        <v>sexta-feira</v>
      </c>
      <c r="C70" s="12">
        <v>68724.97</v>
      </c>
      <c r="D70" s="15">
        <v>2173</v>
      </c>
      <c r="E70" s="8">
        <f t="shared" si="9"/>
        <v>31.626769443166129</v>
      </c>
      <c r="F70" s="5">
        <f t="shared" si="10"/>
        <v>2</v>
      </c>
      <c r="G70" s="5">
        <f t="shared" si="11"/>
        <v>2025</v>
      </c>
      <c r="H70" s="6" t="str">
        <f>IF(A70&lt;&gt;" ",G70&amp;"-"&amp;F70&amp;"-"&amp;COUNTIFS($G$2:G70,G70,$F$2:F70,F70)," ")</f>
        <v>2025-2-7</v>
      </c>
      <c r="M70"/>
    </row>
    <row r="71" spans="1:13" ht="15" x14ac:dyDescent="0.25">
      <c r="A71" s="10">
        <v>45696</v>
      </c>
      <c r="B71" s="5" t="str">
        <f t="shared" si="8"/>
        <v>sábado</v>
      </c>
      <c r="C71" s="12">
        <v>59814.89</v>
      </c>
      <c r="D71" s="15">
        <v>1885</v>
      </c>
      <c r="E71" s="8">
        <f t="shared" si="9"/>
        <v>31.732037135278514</v>
      </c>
      <c r="F71" s="5">
        <f t="shared" si="10"/>
        <v>2</v>
      </c>
      <c r="G71" s="5">
        <f t="shared" si="11"/>
        <v>2025</v>
      </c>
      <c r="H71" s="6" t="str">
        <f>IF(A71&lt;&gt;" ",G71&amp;"-"&amp;F71&amp;"-"&amp;COUNTIFS($G$2:G71,G71,$F$2:F71,F71)," ")</f>
        <v>2025-2-8</v>
      </c>
      <c r="M71"/>
    </row>
    <row r="72" spans="1:13" ht="15" x14ac:dyDescent="0.25">
      <c r="A72" s="10">
        <v>45697</v>
      </c>
      <c r="B72" s="5" t="str">
        <f t="shared" si="8"/>
        <v>domingo</v>
      </c>
      <c r="C72" s="12">
        <v>17489.490000000002</v>
      </c>
      <c r="D72" s="15">
        <v>747</v>
      </c>
      <c r="E72" s="8">
        <f t="shared" si="9"/>
        <v>23.412971887550203</v>
      </c>
      <c r="F72" s="5">
        <f t="shared" si="10"/>
        <v>2</v>
      </c>
      <c r="G72" s="5">
        <f t="shared" si="11"/>
        <v>2025</v>
      </c>
      <c r="H72" s="6" t="str">
        <f>IF(A72&lt;&gt;" ",G72&amp;"-"&amp;F72&amp;"-"&amp;COUNTIFS($G$2:G72,G72,$F$2:F72,F72)," ")</f>
        <v>2025-2-9</v>
      </c>
      <c r="M72"/>
    </row>
    <row r="73" spans="1:13" ht="15" x14ac:dyDescent="0.25">
      <c r="A73" s="10">
        <v>45698</v>
      </c>
      <c r="B73" s="5" t="str">
        <f t="shared" si="8"/>
        <v>segunda-feira</v>
      </c>
      <c r="C73" s="12">
        <v>42858.93</v>
      </c>
      <c r="D73" s="15">
        <v>1707</v>
      </c>
      <c r="E73" s="8">
        <f t="shared" si="9"/>
        <v>25.107750439367312</v>
      </c>
      <c r="F73" s="5">
        <f t="shared" si="10"/>
        <v>2</v>
      </c>
      <c r="G73" s="5">
        <f t="shared" si="11"/>
        <v>2025</v>
      </c>
      <c r="H73" s="6" t="str">
        <f>IF(A73&lt;&gt;" ",G73&amp;"-"&amp;F73&amp;"-"&amp;COUNTIFS($G$2:G73,G73,$F$2:F73,F73)," ")</f>
        <v>2025-2-10</v>
      </c>
      <c r="M73"/>
    </row>
    <row r="74" spans="1:13" ht="15" x14ac:dyDescent="0.25">
      <c r="A74" s="10">
        <v>45699</v>
      </c>
      <c r="B74" s="5" t="str">
        <f t="shared" si="8"/>
        <v>terça-feira</v>
      </c>
      <c r="C74" s="12">
        <v>40375.58</v>
      </c>
      <c r="D74" s="15">
        <v>1749</v>
      </c>
      <c r="E74" s="8">
        <f t="shared" si="9"/>
        <v>23.08495140080046</v>
      </c>
      <c r="F74" s="5">
        <f t="shared" si="10"/>
        <v>2</v>
      </c>
      <c r="G74" s="5">
        <f t="shared" si="11"/>
        <v>2025</v>
      </c>
      <c r="H74" s="6" t="str">
        <f>IF(A74&lt;&gt;" ",G74&amp;"-"&amp;F74&amp;"-"&amp;COUNTIFS($G$2:G74,G74,$F$2:F74,F74)," ")</f>
        <v>2025-2-11</v>
      </c>
      <c r="M74"/>
    </row>
    <row r="75" spans="1:13" ht="15" x14ac:dyDescent="0.25">
      <c r="A75" s="10">
        <v>45700</v>
      </c>
      <c r="B75" s="5" t="str">
        <f t="shared" si="8"/>
        <v>quarta-feira</v>
      </c>
      <c r="C75" s="12">
        <v>34369.47</v>
      </c>
      <c r="D75" s="15">
        <v>1630</v>
      </c>
      <c r="E75" s="8">
        <f t="shared" si="9"/>
        <v>21.085564417177913</v>
      </c>
      <c r="F75" s="5">
        <f t="shared" si="10"/>
        <v>2</v>
      </c>
      <c r="G75" s="5">
        <f t="shared" si="11"/>
        <v>2025</v>
      </c>
      <c r="H75" s="6" t="str">
        <f>IF(A75&lt;&gt;" ",G75&amp;"-"&amp;F75&amp;"-"&amp;COUNTIFS($G$2:G75,G75,$F$2:F75,F75)," ")</f>
        <v>2025-2-12</v>
      </c>
      <c r="M75"/>
    </row>
    <row r="76" spans="1:13" ht="15" x14ac:dyDescent="0.25">
      <c r="A76" s="10">
        <v>45701</v>
      </c>
      <c r="B76" s="5" t="str">
        <f t="shared" si="8"/>
        <v>quinta-feira</v>
      </c>
      <c r="C76" s="12">
        <v>35201.79</v>
      </c>
      <c r="D76" s="15">
        <v>1580</v>
      </c>
      <c r="E76" s="8">
        <f t="shared" si="9"/>
        <v>22.279613924050633</v>
      </c>
      <c r="F76" s="5">
        <f t="shared" si="10"/>
        <v>2</v>
      </c>
      <c r="G76" s="5">
        <f t="shared" si="11"/>
        <v>2025</v>
      </c>
      <c r="H76" s="6" t="str">
        <f>IF(A76&lt;&gt;" ",G76&amp;"-"&amp;F76&amp;"-"&amp;COUNTIFS($G$2:G76,G76,$F$2:F76,F76)," ")</f>
        <v>2025-2-13</v>
      </c>
      <c r="M76"/>
    </row>
    <row r="77" spans="1:13" ht="15" x14ac:dyDescent="0.25">
      <c r="A77" s="10">
        <v>45702</v>
      </c>
      <c r="B77" s="5" t="str">
        <f t="shared" si="8"/>
        <v>sexta-feira</v>
      </c>
      <c r="C77" s="12">
        <v>47275.53</v>
      </c>
      <c r="D77" s="15">
        <v>1822</v>
      </c>
      <c r="E77" s="8">
        <f t="shared" si="9"/>
        <v>25.947052689352358</v>
      </c>
      <c r="F77" s="5">
        <f t="shared" si="10"/>
        <v>2</v>
      </c>
      <c r="G77" s="5">
        <f t="shared" si="11"/>
        <v>2025</v>
      </c>
      <c r="H77" s="6" t="str">
        <f>IF(A77&lt;&gt;" ",G77&amp;"-"&amp;F77&amp;"-"&amp;COUNTIFS($G$2:G77,G77,$F$2:F77,F77)," ")</f>
        <v>2025-2-14</v>
      </c>
      <c r="M77"/>
    </row>
    <row r="78" spans="1:13" ht="15" x14ac:dyDescent="0.25">
      <c r="A78" s="10">
        <v>45703</v>
      </c>
      <c r="B78" s="5" t="str">
        <f t="shared" si="8"/>
        <v>sábado</v>
      </c>
      <c r="C78" s="12">
        <v>44597.58</v>
      </c>
      <c r="D78" s="15">
        <v>1622</v>
      </c>
      <c r="E78" s="8">
        <f t="shared" si="9"/>
        <v>27.49542540073983</v>
      </c>
      <c r="F78" s="5">
        <f t="shared" si="10"/>
        <v>2</v>
      </c>
      <c r="G78" s="5">
        <f t="shared" si="11"/>
        <v>2025</v>
      </c>
      <c r="H78" s="6" t="str">
        <f>IF(A78&lt;&gt;" ",G78&amp;"-"&amp;F78&amp;"-"&amp;COUNTIFS($G$2:G78,G78,$F$2:F78,F78)," ")</f>
        <v>2025-2-15</v>
      </c>
      <c r="M78"/>
    </row>
    <row r="79" spans="1:13" ht="15" x14ac:dyDescent="0.25">
      <c r="A79" s="10">
        <v>45704</v>
      </c>
      <c r="B79" s="5" t="str">
        <f t="shared" si="8"/>
        <v>domingo</v>
      </c>
      <c r="C79" s="12">
        <v>14830.26</v>
      </c>
      <c r="D79" s="15">
        <v>681</v>
      </c>
      <c r="E79" s="8">
        <f t="shared" si="9"/>
        <v>21.77718061674009</v>
      </c>
      <c r="F79" s="5">
        <f t="shared" si="10"/>
        <v>2</v>
      </c>
      <c r="G79" s="5">
        <f t="shared" si="11"/>
        <v>2025</v>
      </c>
      <c r="H79" s="6" t="str">
        <f>IF(A79&lt;&gt;" ",G79&amp;"-"&amp;F79&amp;"-"&amp;COUNTIFS($G$2:G79,G79,$F$2:F79,F79)," ")</f>
        <v>2025-2-16</v>
      </c>
      <c r="M79"/>
    </row>
    <row r="80" spans="1:13" ht="15" x14ac:dyDescent="0.25">
      <c r="A80" s="10">
        <v>45705</v>
      </c>
      <c r="B80" s="5" t="str">
        <f t="shared" si="8"/>
        <v>segunda-feira</v>
      </c>
      <c r="C80" s="12">
        <v>35533.1</v>
      </c>
      <c r="D80" s="15">
        <v>1556</v>
      </c>
      <c r="E80" s="8">
        <f t="shared" si="9"/>
        <v>22.836182519280204</v>
      </c>
      <c r="F80" s="5">
        <f t="shared" si="10"/>
        <v>2</v>
      </c>
      <c r="G80" s="5">
        <f t="shared" si="11"/>
        <v>2025</v>
      </c>
      <c r="H80" s="6" t="str">
        <f>IF(A80&lt;&gt;" ",G80&amp;"-"&amp;F80&amp;"-"&amp;COUNTIFS($G$2:G80,G80,$F$2:F80,F80)," ")</f>
        <v>2025-2-17</v>
      </c>
      <c r="M80"/>
    </row>
    <row r="81" spans="1:13" ht="15" x14ac:dyDescent="0.25">
      <c r="A81" s="10">
        <v>45706</v>
      </c>
      <c r="B81" s="5" t="str">
        <f t="shared" si="8"/>
        <v>terça-feira</v>
      </c>
      <c r="C81" s="12">
        <v>39987.660000000003</v>
      </c>
      <c r="D81" s="15">
        <v>1690</v>
      </c>
      <c r="E81" s="8">
        <f t="shared" si="9"/>
        <v>23.661337278106512</v>
      </c>
      <c r="F81" s="5">
        <f t="shared" si="10"/>
        <v>2</v>
      </c>
      <c r="G81" s="5">
        <f t="shared" si="11"/>
        <v>2025</v>
      </c>
      <c r="H81" s="6" t="str">
        <f>IF(A81&lt;&gt;" ",G81&amp;"-"&amp;F81&amp;"-"&amp;COUNTIFS($G$2:G81,G81,$F$2:F81,F81)," ")</f>
        <v>2025-2-18</v>
      </c>
      <c r="M81"/>
    </row>
    <row r="82" spans="1:13" ht="15" x14ac:dyDescent="0.25">
      <c r="A82" s="10">
        <v>45707</v>
      </c>
      <c r="B82" s="5" t="str">
        <f t="shared" si="8"/>
        <v>quarta-feira</v>
      </c>
      <c r="C82" s="12">
        <v>37382.160000000003</v>
      </c>
      <c r="D82" s="15">
        <v>1505</v>
      </c>
      <c r="E82" s="8">
        <f t="shared" si="9"/>
        <v>24.838644518272428</v>
      </c>
      <c r="F82" s="5">
        <f t="shared" si="10"/>
        <v>2</v>
      </c>
      <c r="G82" s="5">
        <f t="shared" si="11"/>
        <v>2025</v>
      </c>
      <c r="H82" s="6" t="str">
        <f>IF(A82&lt;&gt;" ",G82&amp;"-"&amp;F82&amp;"-"&amp;COUNTIFS($G$2:G82,G82,$F$2:F82,F82)," ")</f>
        <v>2025-2-19</v>
      </c>
      <c r="M82"/>
    </row>
    <row r="83" spans="1:13" ht="15" x14ac:dyDescent="0.25">
      <c r="A83" s="10">
        <v>45708</v>
      </c>
      <c r="B83" s="5" t="str">
        <f t="shared" si="8"/>
        <v>quinta-feira</v>
      </c>
      <c r="C83" s="12">
        <v>46539.07</v>
      </c>
      <c r="D83" s="15">
        <v>1805</v>
      </c>
      <c r="E83" s="8">
        <f t="shared" si="9"/>
        <v>25.783418282548475</v>
      </c>
      <c r="F83" s="5">
        <f t="shared" si="10"/>
        <v>2</v>
      </c>
      <c r="G83" s="5">
        <f t="shared" si="11"/>
        <v>2025</v>
      </c>
      <c r="H83" s="6" t="str">
        <f>IF(A83&lt;&gt;" ",G83&amp;"-"&amp;F83&amp;"-"&amp;COUNTIFS($G$2:G83,G83,$F$2:F83,F83)," ")</f>
        <v>2025-2-20</v>
      </c>
      <c r="M83"/>
    </row>
    <row r="84" spans="1:13" ht="15" x14ac:dyDescent="0.25">
      <c r="A84" s="10">
        <v>45709</v>
      </c>
      <c r="B84" s="5" t="str">
        <f t="shared" si="8"/>
        <v>sexta-feira</v>
      </c>
      <c r="C84" s="12">
        <v>44972.18</v>
      </c>
      <c r="D84" s="15">
        <v>1745</v>
      </c>
      <c r="E84" s="8">
        <f t="shared" si="9"/>
        <v>25.772022922636104</v>
      </c>
      <c r="F84" s="5">
        <f t="shared" si="10"/>
        <v>2</v>
      </c>
      <c r="G84" s="5">
        <f t="shared" si="11"/>
        <v>2025</v>
      </c>
      <c r="H84" s="6" t="str">
        <f>IF(A84&lt;&gt;" ",G84&amp;"-"&amp;F84&amp;"-"&amp;COUNTIFS($G$2:G84,G84,$F$2:F84,F84)," ")</f>
        <v>2025-2-21</v>
      </c>
      <c r="M84"/>
    </row>
    <row r="85" spans="1:13" ht="15" x14ac:dyDescent="0.25">
      <c r="A85" s="10">
        <v>45710</v>
      </c>
      <c r="B85" s="5" t="str">
        <f t="shared" si="8"/>
        <v>sábado</v>
      </c>
      <c r="C85" s="12">
        <v>46305.79</v>
      </c>
      <c r="D85" s="15">
        <v>1671</v>
      </c>
      <c r="E85" s="8">
        <f t="shared" si="9"/>
        <v>27.711424296828248</v>
      </c>
      <c r="F85" s="5">
        <f t="shared" si="10"/>
        <v>2</v>
      </c>
      <c r="G85" s="5">
        <f t="shared" si="11"/>
        <v>2025</v>
      </c>
      <c r="H85" s="6" t="str">
        <f>IF(A85&lt;&gt;" ",G85&amp;"-"&amp;F85&amp;"-"&amp;COUNTIFS($G$2:G85,G85,$F$2:F85,F85)," ")</f>
        <v>2025-2-22</v>
      </c>
      <c r="M85"/>
    </row>
    <row r="86" spans="1:13" ht="15" x14ac:dyDescent="0.25">
      <c r="A86" s="10">
        <v>45711</v>
      </c>
      <c r="B86" s="5" t="str">
        <f t="shared" si="8"/>
        <v>domingo</v>
      </c>
      <c r="C86" s="12">
        <v>14557.91</v>
      </c>
      <c r="D86" s="15">
        <v>652</v>
      </c>
      <c r="E86" s="8">
        <f t="shared" si="9"/>
        <v>22.328082822085889</v>
      </c>
      <c r="F86" s="5">
        <f t="shared" si="10"/>
        <v>2</v>
      </c>
      <c r="G86" s="5">
        <f t="shared" si="11"/>
        <v>2025</v>
      </c>
      <c r="H86" s="6" t="str">
        <f>IF(A86&lt;&gt;" ",G86&amp;"-"&amp;F86&amp;"-"&amp;COUNTIFS($G$2:G86,G86,$F$2:F86,F86)," ")</f>
        <v>2025-2-23</v>
      </c>
      <c r="M86"/>
    </row>
    <row r="87" spans="1:13" ht="15" x14ac:dyDescent="0.25">
      <c r="A87" s="10">
        <v>45712</v>
      </c>
      <c r="B87" s="5" t="str">
        <f t="shared" si="8"/>
        <v>segunda-feira</v>
      </c>
      <c r="C87" s="12">
        <v>31747.06</v>
      </c>
      <c r="D87" s="15">
        <v>1453</v>
      </c>
      <c r="E87" s="8">
        <f t="shared" si="9"/>
        <v>21.84931865106676</v>
      </c>
      <c r="F87" s="5">
        <f t="shared" si="10"/>
        <v>2</v>
      </c>
      <c r="G87" s="5">
        <f t="shared" si="11"/>
        <v>2025</v>
      </c>
      <c r="H87" s="6" t="str">
        <f>IF(A87&lt;&gt;" ",G87&amp;"-"&amp;F87&amp;"-"&amp;COUNTIFS($G$2:G87,G87,$F$2:F87,F87)," ")</f>
        <v>2025-2-24</v>
      </c>
      <c r="M87"/>
    </row>
    <row r="88" spans="1:13" ht="15" x14ac:dyDescent="0.25">
      <c r="A88" s="10">
        <v>45713</v>
      </c>
      <c r="B88" s="5" t="str">
        <f t="shared" si="8"/>
        <v>terça-feira</v>
      </c>
      <c r="C88" s="12">
        <v>41842.94</v>
      </c>
      <c r="D88" s="15">
        <v>1725</v>
      </c>
      <c r="E88" s="8">
        <f t="shared" si="9"/>
        <v>24.256776811594204</v>
      </c>
      <c r="F88" s="5">
        <f t="shared" si="10"/>
        <v>2</v>
      </c>
      <c r="G88" s="5">
        <f t="shared" si="11"/>
        <v>2025</v>
      </c>
      <c r="H88" s="6" t="str">
        <f>IF(A88&lt;&gt;" ",G88&amp;"-"&amp;F88&amp;"-"&amp;COUNTIFS($G$2:G88,G88,$F$2:F88,F88)," ")</f>
        <v>2025-2-25</v>
      </c>
      <c r="M88"/>
    </row>
    <row r="89" spans="1:13" ht="15" x14ac:dyDescent="0.25">
      <c r="A89" s="10">
        <v>45714</v>
      </c>
      <c r="B89" s="5" t="str">
        <f t="shared" si="8"/>
        <v>quarta-feira</v>
      </c>
      <c r="C89" s="12">
        <v>43561.53</v>
      </c>
      <c r="D89" s="15">
        <v>1704</v>
      </c>
      <c r="E89" s="8">
        <f t="shared" si="9"/>
        <v>25.564278169014084</v>
      </c>
      <c r="F89" s="5">
        <f t="shared" si="10"/>
        <v>2</v>
      </c>
      <c r="G89" s="5">
        <f t="shared" si="11"/>
        <v>2025</v>
      </c>
      <c r="H89" s="6" t="str">
        <f>IF(A89&lt;&gt;" ",G89&amp;"-"&amp;F89&amp;"-"&amp;COUNTIFS($G$2:G89,G89,$F$2:F89,F89)," ")</f>
        <v>2025-2-26</v>
      </c>
      <c r="M89"/>
    </row>
    <row r="90" spans="1:13" ht="15" x14ac:dyDescent="0.25">
      <c r="A90" s="10">
        <v>45715</v>
      </c>
      <c r="B90" s="5" t="str">
        <f t="shared" si="8"/>
        <v>quinta-feira</v>
      </c>
      <c r="C90" s="12">
        <v>37942.06</v>
      </c>
      <c r="D90" s="15">
        <v>1566</v>
      </c>
      <c r="E90" s="8">
        <f t="shared" si="9"/>
        <v>24.228646232439335</v>
      </c>
      <c r="F90" s="5">
        <f t="shared" si="10"/>
        <v>2</v>
      </c>
      <c r="G90" s="5">
        <f t="shared" si="11"/>
        <v>2025</v>
      </c>
      <c r="H90" s="6" t="str">
        <f>IF(A90&lt;&gt;" ",G90&amp;"-"&amp;F90&amp;"-"&amp;COUNTIFS($G$2:G90,G90,$F$2:F90,F90)," ")</f>
        <v>2025-2-27</v>
      </c>
      <c r="M90"/>
    </row>
    <row r="91" spans="1:13" ht="15" x14ac:dyDescent="0.25">
      <c r="A91" s="10">
        <v>45716</v>
      </c>
      <c r="B91" s="5" t="str">
        <f t="shared" si="8"/>
        <v>sexta-feira</v>
      </c>
      <c r="C91" s="12">
        <v>58952.78</v>
      </c>
      <c r="D91" s="15">
        <v>2012</v>
      </c>
      <c r="E91" s="8">
        <f t="shared" si="9"/>
        <v>29.300586481113321</v>
      </c>
      <c r="F91" s="5">
        <f t="shared" si="10"/>
        <v>2</v>
      </c>
      <c r="G91" s="5">
        <f t="shared" si="11"/>
        <v>2025</v>
      </c>
      <c r="H91" s="6" t="str">
        <f>IF(A91&lt;&gt;" ",G91&amp;"-"&amp;F91&amp;"-"&amp;COUNTIFS($G$2:G91,G91,$F$2:F91,F91)," ")</f>
        <v>2025-2-28</v>
      </c>
      <c r="M91"/>
    </row>
    <row r="92" spans="1:13" ht="15" x14ac:dyDescent="0.25">
      <c r="A92" s="10">
        <v>45717</v>
      </c>
      <c r="B92" s="5" t="str">
        <f t="shared" si="8"/>
        <v>sábado</v>
      </c>
      <c r="C92" s="12">
        <v>48307.62</v>
      </c>
      <c r="D92" s="15">
        <v>1622</v>
      </c>
      <c r="E92" s="8">
        <f t="shared" si="9"/>
        <v>29.782749691738594</v>
      </c>
      <c r="F92" s="5">
        <f t="shared" si="10"/>
        <v>3</v>
      </c>
      <c r="G92" s="5">
        <f t="shared" si="11"/>
        <v>2025</v>
      </c>
      <c r="H92" s="6" t="str">
        <f>IF(A92&lt;&gt;" ",G92&amp;"-"&amp;F92&amp;"-"&amp;COUNTIFS($G$2:G92,G92,$F$2:F92,F92)," ")</f>
        <v>2025-3-1</v>
      </c>
      <c r="M92"/>
    </row>
    <row r="93" spans="1:13" ht="15" x14ac:dyDescent="0.25">
      <c r="A93" s="10">
        <v>45718</v>
      </c>
      <c r="B93" s="5" t="str">
        <f t="shared" si="8"/>
        <v>domingo</v>
      </c>
      <c r="C93" s="12">
        <v>17642.78</v>
      </c>
      <c r="D93" s="15">
        <v>720</v>
      </c>
      <c r="E93" s="8">
        <f t="shared" si="9"/>
        <v>24.50386111111111</v>
      </c>
      <c r="F93" s="5">
        <f t="shared" si="10"/>
        <v>3</v>
      </c>
      <c r="G93" s="5">
        <f t="shared" si="11"/>
        <v>2025</v>
      </c>
      <c r="H93" s="6" t="str">
        <f>IF(A93&lt;&gt;" ",G93&amp;"-"&amp;F93&amp;"-"&amp;COUNTIFS($G$2:G93,G93,$F$2:F93,F93)," ")</f>
        <v>2025-3-2</v>
      </c>
      <c r="M93"/>
    </row>
    <row r="94" spans="1:13" ht="15" x14ac:dyDescent="0.25">
      <c r="A94" s="10">
        <v>45719</v>
      </c>
      <c r="B94" s="5" t="str">
        <f t="shared" si="8"/>
        <v>segunda-feira</v>
      </c>
      <c r="C94" s="12">
        <v>26058.26</v>
      </c>
      <c r="D94" s="15">
        <v>1127</v>
      </c>
      <c r="E94" s="8">
        <f t="shared" si="9"/>
        <v>23.121792369121561</v>
      </c>
      <c r="F94" s="5">
        <f t="shared" si="10"/>
        <v>3</v>
      </c>
      <c r="G94" s="5">
        <f t="shared" si="11"/>
        <v>2025</v>
      </c>
      <c r="H94" s="6" t="str">
        <f>IF(A94&lt;&gt;" ",G94&amp;"-"&amp;F94&amp;"-"&amp;COUNTIFS($G$2:G94,G94,$F$2:F94,F94)," ")</f>
        <v>2025-3-3</v>
      </c>
      <c r="M94"/>
    </row>
    <row r="95" spans="1:13" ht="15" x14ac:dyDescent="0.25">
      <c r="A95" s="10">
        <v>45720</v>
      </c>
      <c r="B95" s="5" t="str">
        <f t="shared" si="8"/>
        <v>terça-feira</v>
      </c>
      <c r="C95" s="12">
        <v>15732.65</v>
      </c>
      <c r="D95" s="15">
        <v>654</v>
      </c>
      <c r="E95" s="8">
        <f t="shared" si="9"/>
        <v>24.05603975535168</v>
      </c>
      <c r="F95" s="5">
        <f t="shared" si="10"/>
        <v>3</v>
      </c>
      <c r="G95" s="5">
        <f t="shared" si="11"/>
        <v>2025</v>
      </c>
      <c r="H95" s="6" t="str">
        <f>IF(A95&lt;&gt;" ",G95&amp;"-"&amp;F95&amp;"-"&amp;COUNTIFS($G$2:G95,G95,$F$2:F95,F95)," ")</f>
        <v>2025-3-4</v>
      </c>
      <c r="M95"/>
    </row>
    <row r="96" spans="1:13" ht="15" x14ac:dyDescent="0.25">
      <c r="A96" s="10">
        <v>45721</v>
      </c>
      <c r="B96" s="5" t="str">
        <f t="shared" si="8"/>
        <v>quarta-feira</v>
      </c>
      <c r="C96" s="12">
        <v>32753.82</v>
      </c>
      <c r="D96" s="15">
        <v>1178</v>
      </c>
      <c r="E96" s="8">
        <f t="shared" si="9"/>
        <v>27.804601018675722</v>
      </c>
      <c r="F96" s="5">
        <f t="shared" si="10"/>
        <v>3</v>
      </c>
      <c r="G96" s="5">
        <f t="shared" si="11"/>
        <v>2025</v>
      </c>
      <c r="H96" s="6" t="str">
        <f>IF(A96&lt;&gt;" ",G96&amp;"-"&amp;F96&amp;"-"&amp;COUNTIFS($G$2:G96,G96,$F$2:F96,F96)," ")</f>
        <v>2025-3-5</v>
      </c>
      <c r="M96"/>
    </row>
    <row r="97" spans="1:13" ht="15" x14ac:dyDescent="0.25">
      <c r="A97" s="10">
        <v>45722</v>
      </c>
      <c r="B97" s="5" t="str">
        <f t="shared" si="8"/>
        <v>quinta-feira</v>
      </c>
      <c r="C97" s="12">
        <v>44762.559999999998</v>
      </c>
      <c r="D97" s="15">
        <v>1626</v>
      </c>
      <c r="E97" s="8">
        <f t="shared" si="9"/>
        <v>27.529249692496922</v>
      </c>
      <c r="F97" s="5">
        <f t="shared" si="10"/>
        <v>3</v>
      </c>
      <c r="G97" s="5">
        <f t="shared" si="11"/>
        <v>2025</v>
      </c>
      <c r="H97" s="6" t="str">
        <f>IF(A97&lt;&gt;" ",G97&amp;"-"&amp;F97&amp;"-"&amp;COUNTIFS($G$2:G97,G97,$F$2:F97,F97)," ")</f>
        <v>2025-3-6</v>
      </c>
      <c r="M97"/>
    </row>
    <row r="98" spans="1:13" ht="15" x14ac:dyDescent="0.25">
      <c r="A98" s="10">
        <v>45723</v>
      </c>
      <c r="B98" s="5" t="str">
        <f t="shared" ref="B98:B129" si="12">IF(A98&lt;&gt;" ",TEXT(A98,"dddd")," ")</f>
        <v>sexta-feira</v>
      </c>
      <c r="C98" s="12">
        <v>53241.27</v>
      </c>
      <c r="D98" s="15">
        <v>1940</v>
      </c>
      <c r="E98" s="8">
        <f t="shared" ref="E98:E129" si="13">IF(D98&gt;0,C98/D98," ")</f>
        <v>27.443953608247423</v>
      </c>
      <c r="F98" s="5">
        <f t="shared" ref="F98:F129" si="14">IF(A98&lt;&gt;" ",MONTH(A98)," ")</f>
        <v>3</v>
      </c>
      <c r="G98" s="5">
        <f t="shared" ref="G98:G129" si="15">IF(A98&lt;&gt;" ",YEAR(A98)," ")</f>
        <v>2025</v>
      </c>
      <c r="H98" s="6" t="str">
        <f>IF(A98&lt;&gt;" ",G98&amp;"-"&amp;F98&amp;"-"&amp;COUNTIFS($G$2:G98,G98,$F$2:F98,F98)," ")</f>
        <v>2025-3-7</v>
      </c>
      <c r="M98"/>
    </row>
    <row r="99" spans="1:13" ht="15" x14ac:dyDescent="0.25">
      <c r="A99" s="10">
        <v>45724</v>
      </c>
      <c r="B99" s="5" t="str">
        <f t="shared" si="12"/>
        <v>sábado</v>
      </c>
      <c r="C99" s="12">
        <v>54302.8</v>
      </c>
      <c r="D99" s="15">
        <v>1837</v>
      </c>
      <c r="E99" s="8">
        <f t="shared" si="13"/>
        <v>29.560587915078933</v>
      </c>
      <c r="F99" s="5">
        <f t="shared" si="14"/>
        <v>3</v>
      </c>
      <c r="G99" s="5">
        <f t="shared" si="15"/>
        <v>2025</v>
      </c>
      <c r="H99" s="6" t="str">
        <f>IF(A99&lt;&gt;" ",G99&amp;"-"&amp;F99&amp;"-"&amp;COUNTIFS($G$2:G99,G99,$F$2:F99,F99)," ")</f>
        <v>2025-3-8</v>
      </c>
      <c r="M99"/>
    </row>
    <row r="100" spans="1:13" ht="15" x14ac:dyDescent="0.25">
      <c r="A100" s="10">
        <v>45725</v>
      </c>
      <c r="B100" s="5" t="str">
        <f t="shared" si="12"/>
        <v>domingo</v>
      </c>
      <c r="C100" s="12">
        <v>15246.55</v>
      </c>
      <c r="D100" s="15">
        <v>696</v>
      </c>
      <c r="E100" s="8">
        <f t="shared" si="13"/>
        <v>21.905962643678158</v>
      </c>
      <c r="F100" s="5">
        <f t="shared" si="14"/>
        <v>3</v>
      </c>
      <c r="G100" s="5">
        <f t="shared" si="15"/>
        <v>2025</v>
      </c>
      <c r="H100" s="6" t="str">
        <f>IF(A100&lt;&gt;" ",G100&amp;"-"&amp;F100&amp;"-"&amp;COUNTIFS($G$2:G100,G100,$F$2:F100,F100)," ")</f>
        <v>2025-3-9</v>
      </c>
      <c r="M100"/>
    </row>
    <row r="101" spans="1:13" ht="15" x14ac:dyDescent="0.25">
      <c r="A101" s="10">
        <v>45726</v>
      </c>
      <c r="B101" s="5" t="str">
        <f t="shared" si="12"/>
        <v>segunda-feira</v>
      </c>
      <c r="C101" s="12">
        <v>37745</v>
      </c>
      <c r="D101" s="15">
        <v>1655</v>
      </c>
      <c r="E101" s="8">
        <f t="shared" si="13"/>
        <v>22.80664652567976</v>
      </c>
      <c r="F101" s="5">
        <f t="shared" si="14"/>
        <v>3</v>
      </c>
      <c r="G101" s="5">
        <f t="shared" si="15"/>
        <v>2025</v>
      </c>
      <c r="H101" s="6" t="str">
        <f>IF(A101&lt;&gt;" ",G101&amp;"-"&amp;F101&amp;"-"&amp;COUNTIFS($G$2:G101,G101,$F$2:F101,F101)," ")</f>
        <v>2025-3-10</v>
      </c>
      <c r="M101"/>
    </row>
    <row r="102" spans="1:13" ht="15" x14ac:dyDescent="0.25">
      <c r="A102" s="10">
        <v>45727</v>
      </c>
      <c r="B102" s="5" t="str">
        <f t="shared" si="12"/>
        <v>terça-feira</v>
      </c>
      <c r="C102" s="12">
        <v>45296.92</v>
      </c>
      <c r="D102" s="15">
        <v>1804</v>
      </c>
      <c r="E102" s="8">
        <f t="shared" si="13"/>
        <v>25.109157427937916</v>
      </c>
      <c r="F102" s="5">
        <f t="shared" si="14"/>
        <v>3</v>
      </c>
      <c r="G102" s="5">
        <f t="shared" si="15"/>
        <v>2025</v>
      </c>
      <c r="H102" s="6" t="str">
        <f>IF(A102&lt;&gt;" ",G102&amp;"-"&amp;F102&amp;"-"&amp;COUNTIFS($G$2:G102,G102,$F$2:F102,F102)," ")</f>
        <v>2025-3-11</v>
      </c>
      <c r="M102"/>
    </row>
    <row r="103" spans="1:13" ht="15" x14ac:dyDescent="0.25">
      <c r="A103" s="10">
        <v>45728</v>
      </c>
      <c r="B103" s="5" t="str">
        <f t="shared" si="12"/>
        <v>quarta-feira</v>
      </c>
      <c r="C103" s="12">
        <v>46349.79</v>
      </c>
      <c r="D103" s="15">
        <v>1751</v>
      </c>
      <c r="E103" s="8">
        <f t="shared" si="13"/>
        <v>26.470468303826387</v>
      </c>
      <c r="F103" s="5">
        <f t="shared" si="14"/>
        <v>3</v>
      </c>
      <c r="G103" s="5">
        <f t="shared" si="15"/>
        <v>2025</v>
      </c>
      <c r="H103" s="6" t="str">
        <f>IF(A103&lt;&gt;" ",G103&amp;"-"&amp;F103&amp;"-"&amp;COUNTIFS($G$2:G103,G103,$F$2:F103,F103)," ")</f>
        <v>2025-3-12</v>
      </c>
      <c r="M103"/>
    </row>
    <row r="104" spans="1:13" ht="15" x14ac:dyDescent="0.25">
      <c r="A104" s="10">
        <v>45729</v>
      </c>
      <c r="B104" s="5" t="str">
        <f t="shared" si="12"/>
        <v>quinta-feira</v>
      </c>
      <c r="C104" s="12">
        <v>40640.29</v>
      </c>
      <c r="D104" s="15">
        <v>1594</v>
      </c>
      <c r="E104" s="8">
        <f t="shared" si="13"/>
        <v>25.495790464240905</v>
      </c>
      <c r="F104" s="5">
        <f t="shared" si="14"/>
        <v>3</v>
      </c>
      <c r="G104" s="5">
        <f t="shared" si="15"/>
        <v>2025</v>
      </c>
      <c r="H104" s="6" t="str">
        <f>IF(A104&lt;&gt;" ",G104&amp;"-"&amp;F104&amp;"-"&amp;COUNTIFS($G$2:G104,G104,$F$2:F104,F104)," ")</f>
        <v>2025-3-13</v>
      </c>
      <c r="M104"/>
    </row>
    <row r="105" spans="1:13" ht="15" x14ac:dyDescent="0.25">
      <c r="A105" s="10">
        <v>45730</v>
      </c>
      <c r="B105" s="5" t="str">
        <f t="shared" si="12"/>
        <v>sexta-feira</v>
      </c>
      <c r="C105" s="12">
        <v>48014.41</v>
      </c>
      <c r="D105" s="15">
        <v>1811</v>
      </c>
      <c r="E105" s="8">
        <f t="shared" si="13"/>
        <v>26.51265046935395</v>
      </c>
      <c r="F105" s="5">
        <f t="shared" si="14"/>
        <v>3</v>
      </c>
      <c r="G105" s="5">
        <f t="shared" si="15"/>
        <v>2025</v>
      </c>
      <c r="H105" s="6" t="str">
        <f>IF(A105&lt;&gt;" ",G105&amp;"-"&amp;F105&amp;"-"&amp;COUNTIFS($G$2:G105,G105,$F$2:F105,F105)," ")</f>
        <v>2025-3-14</v>
      </c>
      <c r="M105"/>
    </row>
    <row r="106" spans="1:13" ht="15" x14ac:dyDescent="0.25">
      <c r="A106" s="10">
        <v>45731</v>
      </c>
      <c r="B106" s="5" t="str">
        <f t="shared" si="12"/>
        <v>sábado</v>
      </c>
      <c r="C106" s="12">
        <v>45215.55</v>
      </c>
      <c r="D106" s="15">
        <v>1653</v>
      </c>
      <c r="E106" s="8">
        <f t="shared" si="13"/>
        <v>27.353629764065339</v>
      </c>
      <c r="F106" s="5">
        <f t="shared" si="14"/>
        <v>3</v>
      </c>
      <c r="G106" s="5">
        <f t="shared" si="15"/>
        <v>2025</v>
      </c>
      <c r="H106" s="6" t="str">
        <f>IF(A106&lt;&gt;" ",G106&amp;"-"&amp;F106&amp;"-"&amp;COUNTIFS($G$2:G106,G106,$F$2:F106,F106)," ")</f>
        <v>2025-3-15</v>
      </c>
      <c r="M106"/>
    </row>
    <row r="107" spans="1:13" ht="15" x14ac:dyDescent="0.25">
      <c r="A107" s="10">
        <v>45732</v>
      </c>
      <c r="B107" s="5" t="str">
        <f t="shared" si="12"/>
        <v>domingo</v>
      </c>
      <c r="C107" s="12">
        <v>14709.21</v>
      </c>
      <c r="D107" s="15">
        <v>657</v>
      </c>
      <c r="E107" s="8">
        <f t="shared" si="13"/>
        <v>22.388447488584475</v>
      </c>
      <c r="F107" s="5">
        <f t="shared" si="14"/>
        <v>3</v>
      </c>
      <c r="G107" s="5">
        <f t="shared" si="15"/>
        <v>2025</v>
      </c>
      <c r="H107" s="6" t="str">
        <f>IF(A107&lt;&gt;" ",G107&amp;"-"&amp;F107&amp;"-"&amp;COUNTIFS($G$2:G107,G107,$F$2:F107,F107)," ")</f>
        <v>2025-3-16</v>
      </c>
      <c r="M107"/>
    </row>
    <row r="108" spans="1:13" ht="15" x14ac:dyDescent="0.25">
      <c r="A108" s="10">
        <v>45733</v>
      </c>
      <c r="B108" s="5" t="str">
        <f t="shared" si="12"/>
        <v>segunda-feira</v>
      </c>
      <c r="C108" s="12">
        <v>36538.97</v>
      </c>
      <c r="D108" s="15">
        <v>1481</v>
      </c>
      <c r="E108" s="8">
        <f t="shared" si="13"/>
        <v>24.671823092505065</v>
      </c>
      <c r="F108" s="5">
        <f t="shared" si="14"/>
        <v>3</v>
      </c>
      <c r="G108" s="5">
        <f t="shared" si="15"/>
        <v>2025</v>
      </c>
      <c r="H108" s="6" t="str">
        <f>IF(A108&lt;&gt;" ",G108&amp;"-"&amp;F108&amp;"-"&amp;COUNTIFS($G$2:G108,G108,$F$2:F108,F108)," ")</f>
        <v>2025-3-17</v>
      </c>
      <c r="M108"/>
    </row>
    <row r="109" spans="1:13" ht="15" x14ac:dyDescent="0.25">
      <c r="A109" s="10">
        <v>45734</v>
      </c>
      <c r="B109" s="5" t="str">
        <f t="shared" si="12"/>
        <v>terça-feira</v>
      </c>
      <c r="C109" s="12">
        <v>41783.15</v>
      </c>
      <c r="D109" s="15">
        <v>1691</v>
      </c>
      <c r="E109" s="8">
        <f t="shared" si="13"/>
        <v>24.709136605558843</v>
      </c>
      <c r="F109" s="5">
        <f t="shared" si="14"/>
        <v>3</v>
      </c>
      <c r="G109" s="5">
        <f t="shared" si="15"/>
        <v>2025</v>
      </c>
      <c r="H109" s="6" t="str">
        <f>IF(A109&lt;&gt;" ",G109&amp;"-"&amp;F109&amp;"-"&amp;COUNTIFS($G$2:G109,G109,$F$2:F109,F109)," ")</f>
        <v>2025-3-18</v>
      </c>
      <c r="M109"/>
    </row>
    <row r="110" spans="1:13" ht="15" x14ac:dyDescent="0.25">
      <c r="A110" s="10">
        <v>45735</v>
      </c>
      <c r="B110" s="5" t="str">
        <f t="shared" si="12"/>
        <v>quarta-feira</v>
      </c>
      <c r="C110" s="12">
        <v>36161.68</v>
      </c>
      <c r="D110" s="15">
        <v>1347</v>
      </c>
      <c r="E110" s="8">
        <f t="shared" si="13"/>
        <v>26.846087602078693</v>
      </c>
      <c r="F110" s="5">
        <f t="shared" si="14"/>
        <v>3</v>
      </c>
      <c r="G110" s="5">
        <f t="shared" si="15"/>
        <v>2025</v>
      </c>
      <c r="H110" s="6" t="str">
        <f>IF(A110&lt;&gt;" ",G110&amp;"-"&amp;F110&amp;"-"&amp;COUNTIFS($G$2:G110,G110,$F$2:F110,F110)," ")</f>
        <v>2025-3-19</v>
      </c>
      <c r="M110"/>
    </row>
    <row r="111" spans="1:13" ht="15" x14ac:dyDescent="0.25">
      <c r="A111" s="10">
        <v>45736</v>
      </c>
      <c r="B111" s="5" t="str">
        <f t="shared" si="12"/>
        <v>quinta-feira</v>
      </c>
      <c r="C111" s="12">
        <v>45635.97</v>
      </c>
      <c r="D111" s="15">
        <v>1641</v>
      </c>
      <c r="E111" s="8">
        <f t="shared" si="13"/>
        <v>27.809853747714808</v>
      </c>
      <c r="F111" s="5">
        <f t="shared" si="14"/>
        <v>3</v>
      </c>
      <c r="G111" s="5">
        <f t="shared" si="15"/>
        <v>2025</v>
      </c>
      <c r="H111" s="6" t="str">
        <f>IF(A111&lt;&gt;" ",G111&amp;"-"&amp;F111&amp;"-"&amp;COUNTIFS($G$2:G111,G111,$F$2:F111,F111)," ")</f>
        <v>2025-3-20</v>
      </c>
      <c r="M111"/>
    </row>
    <row r="112" spans="1:13" ht="15" x14ac:dyDescent="0.25">
      <c r="A112" s="10">
        <v>45737</v>
      </c>
      <c r="B112" s="5" t="str">
        <f t="shared" si="12"/>
        <v>sexta-feira</v>
      </c>
      <c r="C112" s="12">
        <v>52581.96</v>
      </c>
      <c r="D112" s="15">
        <v>1954</v>
      </c>
      <c r="E112" s="8">
        <f t="shared" si="13"/>
        <v>26.909907881269191</v>
      </c>
      <c r="F112" s="5">
        <f t="shared" si="14"/>
        <v>3</v>
      </c>
      <c r="G112" s="5">
        <f t="shared" si="15"/>
        <v>2025</v>
      </c>
      <c r="H112" s="6" t="str">
        <f>IF(A112&lt;&gt;" ",G112&amp;"-"&amp;F112&amp;"-"&amp;COUNTIFS($G$2:G112,G112,$F$2:F112,F112)," ")</f>
        <v>2025-3-21</v>
      </c>
      <c r="M112"/>
    </row>
    <row r="113" spans="1:13" ht="15" x14ac:dyDescent="0.25">
      <c r="A113" s="10">
        <v>45738</v>
      </c>
      <c r="B113" s="5" t="str">
        <f t="shared" si="12"/>
        <v>sábado</v>
      </c>
      <c r="C113" s="12">
        <v>47377.599999999999</v>
      </c>
      <c r="D113" s="15">
        <v>1627</v>
      </c>
      <c r="E113" s="8">
        <f t="shared" si="13"/>
        <v>29.11960663798402</v>
      </c>
      <c r="F113" s="5">
        <f t="shared" si="14"/>
        <v>3</v>
      </c>
      <c r="G113" s="5">
        <f t="shared" si="15"/>
        <v>2025</v>
      </c>
      <c r="H113" s="6" t="str">
        <f>IF(A113&lt;&gt;" ",G113&amp;"-"&amp;F113&amp;"-"&amp;COUNTIFS($G$2:G113,G113,$F$2:F113,F113)," ")</f>
        <v>2025-3-22</v>
      </c>
      <c r="M113"/>
    </row>
    <row r="114" spans="1:13" ht="15" x14ac:dyDescent="0.25">
      <c r="A114" s="10">
        <v>45739</v>
      </c>
      <c r="B114" s="5" t="str">
        <f t="shared" si="12"/>
        <v>domingo</v>
      </c>
      <c r="C114" s="12">
        <v>15368.36</v>
      </c>
      <c r="D114" s="15">
        <v>662</v>
      </c>
      <c r="E114" s="8">
        <f t="shared" si="13"/>
        <v>23.215045317220543</v>
      </c>
      <c r="F114" s="5">
        <f t="shared" si="14"/>
        <v>3</v>
      </c>
      <c r="G114" s="5">
        <f t="shared" si="15"/>
        <v>2025</v>
      </c>
      <c r="H114" s="6" t="str">
        <f>IF(A114&lt;&gt;" ",G114&amp;"-"&amp;F114&amp;"-"&amp;COUNTIFS($G$2:G114,G114,$F$2:F114,F114)," ")</f>
        <v>2025-3-23</v>
      </c>
      <c r="M114"/>
    </row>
    <row r="115" spans="1:13" ht="15" x14ac:dyDescent="0.25">
      <c r="A115" s="10">
        <v>45740</v>
      </c>
      <c r="B115" s="5" t="str">
        <f t="shared" si="12"/>
        <v>segunda-feira</v>
      </c>
      <c r="C115" s="12">
        <v>39103.85</v>
      </c>
      <c r="D115" s="15">
        <v>1479</v>
      </c>
      <c r="E115" s="8">
        <f t="shared" si="13"/>
        <v>26.439384719405002</v>
      </c>
      <c r="F115" s="5">
        <f t="shared" si="14"/>
        <v>3</v>
      </c>
      <c r="G115" s="5">
        <f t="shared" si="15"/>
        <v>2025</v>
      </c>
      <c r="H115" s="6" t="str">
        <f>IF(A115&lt;&gt;" ",G115&amp;"-"&amp;F115&amp;"-"&amp;COUNTIFS($G$2:G115,G115,$F$2:F115,F115)," ")</f>
        <v>2025-3-24</v>
      </c>
      <c r="M115"/>
    </row>
    <row r="116" spans="1:13" ht="15" x14ac:dyDescent="0.25">
      <c r="A116" s="10">
        <v>45741</v>
      </c>
      <c r="B116" s="5" t="str">
        <f t="shared" si="12"/>
        <v>terça-feira</v>
      </c>
      <c r="C116" s="12">
        <v>51136.53</v>
      </c>
      <c r="D116" s="15">
        <v>1830</v>
      </c>
      <c r="E116" s="8">
        <f t="shared" si="13"/>
        <v>27.943459016393444</v>
      </c>
      <c r="F116" s="5">
        <f t="shared" si="14"/>
        <v>3</v>
      </c>
      <c r="G116" s="5">
        <f t="shared" si="15"/>
        <v>2025</v>
      </c>
      <c r="H116" s="6" t="str">
        <f>IF(A116&lt;&gt;" ",G116&amp;"-"&amp;F116&amp;"-"&amp;COUNTIFS($G$2:G116,G116,$F$2:F116,F116)," ")</f>
        <v>2025-3-25</v>
      </c>
      <c r="M116"/>
    </row>
    <row r="117" spans="1:13" ht="15" x14ac:dyDescent="0.25">
      <c r="A117" s="10">
        <v>45742</v>
      </c>
      <c r="B117" s="5" t="str">
        <f t="shared" si="12"/>
        <v>quarta-feira</v>
      </c>
      <c r="C117" s="12">
        <v>46406.51</v>
      </c>
      <c r="D117" s="15">
        <v>1715</v>
      </c>
      <c r="E117" s="8">
        <f t="shared" si="13"/>
        <v>27.05918950437318</v>
      </c>
      <c r="F117" s="5">
        <f t="shared" si="14"/>
        <v>3</v>
      </c>
      <c r="G117" s="5">
        <f t="shared" si="15"/>
        <v>2025</v>
      </c>
      <c r="H117" s="6" t="str">
        <f>IF(A117&lt;&gt;" ",G117&amp;"-"&amp;F117&amp;"-"&amp;COUNTIFS($G$2:G117,G117,$F$2:F117,F117)," ")</f>
        <v>2025-3-26</v>
      </c>
      <c r="M117"/>
    </row>
    <row r="118" spans="1:13" ht="15" x14ac:dyDescent="0.25">
      <c r="A118" s="10">
        <v>45743</v>
      </c>
      <c r="B118" s="5" t="str">
        <f t="shared" si="12"/>
        <v>quinta-feira</v>
      </c>
      <c r="C118" s="12">
        <v>45555.12</v>
      </c>
      <c r="D118" s="15">
        <v>1756</v>
      </c>
      <c r="E118" s="8">
        <f t="shared" si="13"/>
        <v>25.94255125284738</v>
      </c>
      <c r="F118" s="5">
        <f t="shared" si="14"/>
        <v>3</v>
      </c>
      <c r="G118" s="5">
        <f t="shared" si="15"/>
        <v>2025</v>
      </c>
      <c r="H118" s="6" t="str">
        <f>IF(A118&lt;&gt;" ",G118&amp;"-"&amp;F118&amp;"-"&amp;COUNTIFS($G$2:G118,G118,$F$2:F118,F118)," ")</f>
        <v>2025-3-27</v>
      </c>
      <c r="M118"/>
    </row>
    <row r="119" spans="1:13" ht="15" x14ac:dyDescent="0.25">
      <c r="A119" s="10">
        <v>45744</v>
      </c>
      <c r="B119" s="5" t="str">
        <f t="shared" si="12"/>
        <v>sexta-feira</v>
      </c>
      <c r="C119" s="12">
        <v>51807.24</v>
      </c>
      <c r="D119" s="15">
        <v>1920</v>
      </c>
      <c r="E119" s="8">
        <f t="shared" si="13"/>
        <v>26.982937499999998</v>
      </c>
      <c r="F119" s="5">
        <f t="shared" si="14"/>
        <v>3</v>
      </c>
      <c r="G119" s="5">
        <f t="shared" si="15"/>
        <v>2025</v>
      </c>
      <c r="H119" s="6" t="str">
        <f>IF(A119&lt;&gt;" ",G119&amp;"-"&amp;F119&amp;"-"&amp;COUNTIFS($G$2:G119,G119,$F$2:F119,F119)," ")</f>
        <v>2025-3-28</v>
      </c>
      <c r="M119"/>
    </row>
    <row r="120" spans="1:13" ht="15" x14ac:dyDescent="0.25">
      <c r="A120" s="10">
        <v>45745</v>
      </c>
      <c r="B120" s="5" t="str">
        <f t="shared" si="12"/>
        <v>sábado</v>
      </c>
      <c r="C120" s="12">
        <v>51057.11</v>
      </c>
      <c r="D120" s="15">
        <v>1663</v>
      </c>
      <c r="E120" s="8">
        <f t="shared" si="13"/>
        <v>30.701809981960313</v>
      </c>
      <c r="F120" s="5">
        <f t="shared" si="14"/>
        <v>3</v>
      </c>
      <c r="G120" s="5">
        <f t="shared" si="15"/>
        <v>2025</v>
      </c>
      <c r="H120" s="6" t="str">
        <f>IF(A120&lt;&gt;" ",G120&amp;"-"&amp;F120&amp;"-"&amp;COUNTIFS($G$2:G120,G120,$F$2:F120,F120)," ")</f>
        <v>2025-3-29</v>
      </c>
      <c r="M120"/>
    </row>
    <row r="121" spans="1:13" ht="15" x14ac:dyDescent="0.25">
      <c r="A121" s="10">
        <v>45746</v>
      </c>
      <c r="B121" s="5" t="str">
        <f t="shared" si="12"/>
        <v>domingo</v>
      </c>
      <c r="C121" s="12">
        <v>18234.88</v>
      </c>
      <c r="D121" s="15">
        <v>699</v>
      </c>
      <c r="E121" s="8">
        <f t="shared" si="13"/>
        <v>26.087095851216024</v>
      </c>
      <c r="F121" s="5">
        <f t="shared" si="14"/>
        <v>3</v>
      </c>
      <c r="G121" s="5">
        <f t="shared" si="15"/>
        <v>2025</v>
      </c>
      <c r="H121" s="6" t="str">
        <f>IF(A121&lt;&gt;" ",G121&amp;"-"&amp;F121&amp;"-"&amp;COUNTIFS($G$2:G121,G121,$F$2:F121,F121)," ")</f>
        <v>2025-3-30</v>
      </c>
      <c r="M121"/>
    </row>
    <row r="122" spans="1:13" ht="15" x14ac:dyDescent="0.25">
      <c r="A122" s="10">
        <v>45747</v>
      </c>
      <c r="B122" s="5" t="str">
        <f t="shared" si="12"/>
        <v>segunda-feira</v>
      </c>
      <c r="C122" s="12">
        <v>49326.62</v>
      </c>
      <c r="D122" s="15">
        <v>1719</v>
      </c>
      <c r="E122" s="8">
        <f t="shared" si="13"/>
        <v>28.69495055264689</v>
      </c>
      <c r="F122" s="5">
        <f t="shared" si="14"/>
        <v>3</v>
      </c>
      <c r="G122" s="5">
        <f t="shared" si="15"/>
        <v>2025</v>
      </c>
      <c r="H122" s="6" t="str">
        <f>IF(A122&lt;&gt;" ",G122&amp;"-"&amp;F122&amp;"-"&amp;COUNTIFS($G$2:G122,G122,$F$2:F122,F122)," ")</f>
        <v>2025-3-31</v>
      </c>
      <c r="M122"/>
    </row>
    <row r="123" spans="1:13" ht="15" x14ac:dyDescent="0.25">
      <c r="A123" s="10">
        <v>45748</v>
      </c>
      <c r="B123" s="5" t="str">
        <f t="shared" si="12"/>
        <v>terça-feira</v>
      </c>
      <c r="C123" s="12">
        <v>54849.87</v>
      </c>
      <c r="D123" s="15">
        <v>1800</v>
      </c>
      <c r="E123" s="8">
        <f t="shared" si="13"/>
        <v>30.472150000000003</v>
      </c>
      <c r="F123" s="5">
        <f t="shared" si="14"/>
        <v>4</v>
      </c>
      <c r="G123" s="5">
        <f t="shared" si="15"/>
        <v>2025</v>
      </c>
      <c r="H123" s="6" t="str">
        <f>IF(A123&lt;&gt;" ",G123&amp;"-"&amp;F123&amp;"-"&amp;COUNTIFS($G$2:G123,G123,$F$2:F123,F123)," ")</f>
        <v>2025-4-1</v>
      </c>
      <c r="M123"/>
    </row>
    <row r="124" spans="1:13" ht="15" x14ac:dyDescent="0.25">
      <c r="A124" s="10">
        <v>45749</v>
      </c>
      <c r="B124" s="5" t="str">
        <f t="shared" si="12"/>
        <v>quarta-feira</v>
      </c>
      <c r="C124" s="12">
        <v>52704.93</v>
      </c>
      <c r="D124" s="15">
        <v>1845</v>
      </c>
      <c r="E124" s="8">
        <f t="shared" si="13"/>
        <v>28.566357723577237</v>
      </c>
      <c r="F124" s="5">
        <f t="shared" si="14"/>
        <v>4</v>
      </c>
      <c r="G124" s="5">
        <f t="shared" si="15"/>
        <v>2025</v>
      </c>
      <c r="H124" s="6" t="str">
        <f>IF(A124&lt;&gt;" ",G124&amp;"-"&amp;F124&amp;"-"&amp;COUNTIFS($G$2:G124,G124,$F$2:F124,F124)," ")</f>
        <v>2025-4-2</v>
      </c>
      <c r="M124"/>
    </row>
    <row r="125" spans="1:13" ht="15" x14ac:dyDescent="0.25">
      <c r="A125" s="10">
        <v>45750</v>
      </c>
      <c r="B125" s="5" t="str">
        <f t="shared" si="12"/>
        <v>quinta-feira</v>
      </c>
      <c r="C125" s="12">
        <v>54683.94</v>
      </c>
      <c r="D125" s="15">
        <v>1912</v>
      </c>
      <c r="E125" s="8">
        <f t="shared" si="13"/>
        <v>28.600387029288704</v>
      </c>
      <c r="F125" s="5">
        <f t="shared" si="14"/>
        <v>4</v>
      </c>
      <c r="G125" s="5">
        <f t="shared" si="15"/>
        <v>2025</v>
      </c>
      <c r="H125" s="6" t="str">
        <f>IF(A125&lt;&gt;" ",G125&amp;"-"&amp;F125&amp;"-"&amp;COUNTIFS($G$2:G125,G125,$F$2:F125,F125)," ")</f>
        <v>2025-4-3</v>
      </c>
      <c r="M125"/>
    </row>
    <row r="126" spans="1:13" ht="15" x14ac:dyDescent="0.25">
      <c r="A126" s="10">
        <v>45751</v>
      </c>
      <c r="B126" s="5" t="str">
        <f t="shared" si="12"/>
        <v>sexta-feira</v>
      </c>
      <c r="C126" s="12">
        <v>47802.5</v>
      </c>
      <c r="D126" s="15">
        <v>1604</v>
      </c>
      <c r="E126" s="8">
        <f t="shared" si="13"/>
        <v>29.802057356608479</v>
      </c>
      <c r="F126" s="5">
        <f t="shared" si="14"/>
        <v>4</v>
      </c>
      <c r="G126" s="5">
        <f t="shared" si="15"/>
        <v>2025</v>
      </c>
      <c r="H126" s="6" t="str">
        <f>IF(A126&lt;&gt;" ",G126&amp;"-"&amp;F126&amp;"-"&amp;COUNTIFS($G$2:G126,G126,$F$2:F126,F126)," ")</f>
        <v>2025-4-4</v>
      </c>
      <c r="M126"/>
    </row>
    <row r="127" spans="1:13" ht="15" x14ac:dyDescent="0.25">
      <c r="A127" s="10">
        <v>45752</v>
      </c>
      <c r="B127" s="5" t="str">
        <f t="shared" si="12"/>
        <v>sábado</v>
      </c>
      <c r="C127" s="12">
        <v>12346.52</v>
      </c>
      <c r="D127" s="15">
        <v>424</v>
      </c>
      <c r="E127" s="8">
        <f t="shared" si="13"/>
        <v>29.119150943396228</v>
      </c>
      <c r="F127" s="5">
        <f t="shared" si="14"/>
        <v>4</v>
      </c>
      <c r="G127" s="5">
        <f t="shared" si="15"/>
        <v>2025</v>
      </c>
      <c r="H127" s="6" t="str">
        <f>IF(A127&lt;&gt;" ",G127&amp;"-"&amp;F127&amp;"-"&amp;COUNTIFS($G$2:G127,G127,$F$2:F127,F127)," ")</f>
        <v>2025-4-5</v>
      </c>
      <c r="M127"/>
    </row>
    <row r="128" spans="1:13" ht="15" x14ac:dyDescent="0.25">
      <c r="A128" s="10">
        <v>45753</v>
      </c>
      <c r="B128" s="5" t="str">
        <f t="shared" si="12"/>
        <v>domingo</v>
      </c>
      <c r="C128" s="12">
        <v>22078.71</v>
      </c>
      <c r="D128" s="15">
        <v>706</v>
      </c>
      <c r="E128" s="8">
        <f t="shared" si="13"/>
        <v>31.272960339943342</v>
      </c>
      <c r="F128" s="5">
        <f t="shared" si="14"/>
        <v>4</v>
      </c>
      <c r="G128" s="5">
        <f t="shared" si="15"/>
        <v>2025</v>
      </c>
      <c r="H128" s="6" t="str">
        <f>IF(A128&lt;&gt;" ",G128&amp;"-"&amp;F128&amp;"-"&amp;COUNTIFS($G$2:G128,G128,$F$2:F128,F128)," ")</f>
        <v>2025-4-6</v>
      </c>
      <c r="M128"/>
    </row>
    <row r="129" spans="1:13" ht="15" x14ac:dyDescent="0.25">
      <c r="A129" s="10">
        <v>45754</v>
      </c>
      <c r="B129" s="5" t="str">
        <f t="shared" si="12"/>
        <v>segunda-feira</v>
      </c>
      <c r="C129" s="12">
        <v>50824.7</v>
      </c>
      <c r="D129" s="15">
        <v>1841</v>
      </c>
      <c r="E129" s="8">
        <f t="shared" si="13"/>
        <v>27.607115697990221</v>
      </c>
      <c r="F129" s="5">
        <f t="shared" si="14"/>
        <v>4</v>
      </c>
      <c r="G129" s="5">
        <f t="shared" si="15"/>
        <v>2025</v>
      </c>
      <c r="H129" s="6" t="str">
        <f>IF(A129&lt;&gt;" ",G129&amp;"-"&amp;F129&amp;"-"&amp;COUNTIFS($G$2:G129,G129,$F$2:F129,F129)," ")</f>
        <v>2025-4-7</v>
      </c>
      <c r="M129"/>
    </row>
    <row r="130" spans="1:13" ht="15" x14ac:dyDescent="0.25">
      <c r="A130" s="10">
        <v>45755</v>
      </c>
      <c r="B130" s="5" t="str">
        <f t="shared" ref="B130:B161" si="16">IF(A130&lt;&gt;" ",TEXT(A130,"dddd")," ")</f>
        <v>terça-feira</v>
      </c>
      <c r="C130" s="12">
        <v>56719.14</v>
      </c>
      <c r="D130" s="15">
        <v>1983</v>
      </c>
      <c r="E130" s="8">
        <f t="shared" ref="E130:E193" si="17">IF(D130&gt;0,C130/D130," ")</f>
        <v>28.602692889561272</v>
      </c>
      <c r="F130" s="5">
        <f t="shared" ref="F130:F161" si="18">IF(A130&lt;&gt;" ",MONTH(A130)," ")</f>
        <v>4</v>
      </c>
      <c r="G130" s="5">
        <f t="shared" ref="G130:G161" si="19">IF(A130&lt;&gt;" ",YEAR(A130)," ")</f>
        <v>2025</v>
      </c>
      <c r="H130" s="6" t="str">
        <f>IF(A130&lt;&gt;" ",G130&amp;"-"&amp;F130&amp;"-"&amp;COUNTIFS($G$2:G130,G130,$F$2:F130,F130)," ")</f>
        <v>2025-4-8</v>
      </c>
      <c r="M130"/>
    </row>
    <row r="131" spans="1:13" ht="15" x14ac:dyDescent="0.25">
      <c r="A131" s="10">
        <v>45756</v>
      </c>
      <c r="B131" s="5" t="str">
        <f t="shared" si="16"/>
        <v>quarta-feira</v>
      </c>
      <c r="C131" s="12">
        <v>48103.66</v>
      </c>
      <c r="D131" s="15">
        <v>1770</v>
      </c>
      <c r="E131" s="8">
        <f t="shared" si="17"/>
        <v>27.177209039548025</v>
      </c>
      <c r="F131" s="5">
        <f t="shared" si="18"/>
        <v>4</v>
      </c>
      <c r="G131" s="5">
        <f t="shared" si="19"/>
        <v>2025</v>
      </c>
      <c r="H131" s="6" t="str">
        <f>IF(A131&lt;&gt;" ",G131&amp;"-"&amp;F131&amp;"-"&amp;COUNTIFS($G$2:G131,G131,$F$2:F131,F131)," ")</f>
        <v>2025-4-9</v>
      </c>
      <c r="M131"/>
    </row>
    <row r="132" spans="1:13" ht="15" x14ac:dyDescent="0.25">
      <c r="A132" s="10">
        <v>45757</v>
      </c>
      <c r="B132" s="5" t="str">
        <f t="shared" si="16"/>
        <v>quinta-feira</v>
      </c>
      <c r="C132" s="12">
        <v>40858.44</v>
      </c>
      <c r="D132" s="15">
        <v>1488</v>
      </c>
      <c r="E132" s="8">
        <f t="shared" si="17"/>
        <v>27.458629032258067</v>
      </c>
      <c r="F132" s="5">
        <f t="shared" si="18"/>
        <v>4</v>
      </c>
      <c r="G132" s="5">
        <f t="shared" si="19"/>
        <v>2025</v>
      </c>
      <c r="H132" s="6" t="str">
        <f>IF(A132&lt;&gt;" ",G132&amp;"-"&amp;F132&amp;"-"&amp;COUNTIFS($G$2:G132,G132,$F$2:F132,F132)," ")</f>
        <v>2025-4-10</v>
      </c>
      <c r="M132"/>
    </row>
    <row r="133" spans="1:13" ht="15" x14ac:dyDescent="0.25">
      <c r="A133" s="10">
        <v>45758</v>
      </c>
      <c r="B133" s="5" t="str">
        <f t="shared" si="16"/>
        <v>sexta-feira</v>
      </c>
      <c r="C133" s="12">
        <v>62195.18</v>
      </c>
      <c r="D133" s="15">
        <v>1937</v>
      </c>
      <c r="E133" s="8">
        <f t="shared" si="17"/>
        <v>32.10902426432628</v>
      </c>
      <c r="F133" s="5">
        <f t="shared" si="18"/>
        <v>4</v>
      </c>
      <c r="G133" s="5">
        <f t="shared" si="19"/>
        <v>2025</v>
      </c>
      <c r="H133" s="6" t="str">
        <f>IF(A133&lt;&gt;" ",G133&amp;"-"&amp;F133&amp;"-"&amp;COUNTIFS($G$2:G133,G133,$F$2:F133,F133)," ")</f>
        <v>2025-4-11</v>
      </c>
      <c r="M133"/>
    </row>
    <row r="134" spans="1:13" ht="15" x14ac:dyDescent="0.25">
      <c r="A134" s="10">
        <v>45759</v>
      </c>
      <c r="B134" s="5" t="str">
        <f t="shared" si="16"/>
        <v>sábado</v>
      </c>
      <c r="C134" s="12">
        <v>64802.58</v>
      </c>
      <c r="D134" s="15">
        <v>1894</v>
      </c>
      <c r="E134" s="8">
        <f t="shared" si="17"/>
        <v>34.214667370644143</v>
      </c>
      <c r="F134" s="5">
        <f t="shared" si="18"/>
        <v>4</v>
      </c>
      <c r="G134" s="5">
        <f t="shared" si="19"/>
        <v>2025</v>
      </c>
      <c r="H134" s="6" t="str">
        <f>IF(A134&lt;&gt;" ",G134&amp;"-"&amp;F134&amp;"-"&amp;COUNTIFS($G$2:G134,G134,$F$2:F134,F134)," ")</f>
        <v>2025-4-12</v>
      </c>
      <c r="M134"/>
    </row>
    <row r="135" spans="1:13" ht="15" x14ac:dyDescent="0.25">
      <c r="A135" s="10">
        <v>45760</v>
      </c>
      <c r="B135" s="5" t="str">
        <f t="shared" si="16"/>
        <v>domingo</v>
      </c>
      <c r="C135" s="12">
        <v>24124.37</v>
      </c>
      <c r="D135" s="15">
        <v>871</v>
      </c>
      <c r="E135" s="8">
        <f t="shared" si="17"/>
        <v>27.697324913892079</v>
      </c>
      <c r="F135" s="5">
        <f t="shared" si="18"/>
        <v>4</v>
      </c>
      <c r="G135" s="5">
        <f t="shared" si="19"/>
        <v>2025</v>
      </c>
      <c r="H135" s="6" t="str">
        <f>IF(A135&lt;&gt;" ",G135&amp;"-"&amp;F135&amp;"-"&amp;COUNTIFS($G$2:G135,G135,$F$2:F135,F135)," ")</f>
        <v>2025-4-13</v>
      </c>
      <c r="M135"/>
    </row>
    <row r="136" spans="1:13" ht="15" x14ac:dyDescent="0.25">
      <c r="A136" s="10">
        <v>45761</v>
      </c>
      <c r="B136" s="5" t="str">
        <f t="shared" si="16"/>
        <v>segunda-feira</v>
      </c>
      <c r="C136" s="12">
        <v>48710.46</v>
      </c>
      <c r="D136" s="15">
        <v>1603</v>
      </c>
      <c r="E136" s="8">
        <f t="shared" si="17"/>
        <v>30.387061759201497</v>
      </c>
      <c r="F136" s="5">
        <f t="shared" si="18"/>
        <v>4</v>
      </c>
      <c r="G136" s="5">
        <f t="shared" si="19"/>
        <v>2025</v>
      </c>
      <c r="H136" s="6" t="str">
        <f>IF(A136&lt;&gt;" ",G136&amp;"-"&amp;F136&amp;"-"&amp;COUNTIFS($G$2:G136,G136,$F$2:F136,F136)," ")</f>
        <v>2025-4-14</v>
      </c>
      <c r="M136"/>
    </row>
    <row r="137" spans="1:13" ht="15" x14ac:dyDescent="0.25">
      <c r="A137" s="10">
        <v>45762</v>
      </c>
      <c r="B137" s="5" t="str">
        <f t="shared" si="16"/>
        <v>terça-feira</v>
      </c>
      <c r="C137" s="12">
        <v>95236.59</v>
      </c>
      <c r="D137" s="15">
        <v>2371</v>
      </c>
      <c r="E137" s="8">
        <f t="shared" si="17"/>
        <v>40.167266975959507</v>
      </c>
      <c r="F137" s="5">
        <f t="shared" si="18"/>
        <v>4</v>
      </c>
      <c r="G137" s="5">
        <f t="shared" si="19"/>
        <v>2025</v>
      </c>
      <c r="H137" s="6" t="str">
        <f>IF(A137&lt;&gt;" ",G137&amp;"-"&amp;F137&amp;"-"&amp;COUNTIFS($G$2:G137,G137,$F$2:F137,F137)," ")</f>
        <v>2025-4-15</v>
      </c>
      <c r="M137"/>
    </row>
    <row r="138" spans="1:13" ht="15" x14ac:dyDescent="0.25">
      <c r="A138" s="10">
        <v>45763</v>
      </c>
      <c r="B138" s="5" t="str">
        <f t="shared" si="16"/>
        <v>quarta-feira</v>
      </c>
      <c r="C138" s="12">
        <v>110474.14</v>
      </c>
      <c r="D138" s="15">
        <v>2566</v>
      </c>
      <c r="E138" s="8">
        <f t="shared" si="17"/>
        <v>43.053055339049102</v>
      </c>
      <c r="F138" s="5">
        <f t="shared" si="18"/>
        <v>4</v>
      </c>
      <c r="G138" s="5">
        <f t="shared" si="19"/>
        <v>2025</v>
      </c>
      <c r="H138" s="6" t="str">
        <f>IF(A138&lt;&gt;" ",G138&amp;"-"&amp;F138&amp;"-"&amp;COUNTIFS($G$2:G138,G138,$F$2:F138,F138)," ")</f>
        <v>2025-4-16</v>
      </c>
      <c r="M138"/>
    </row>
    <row r="139" spans="1:13" ht="15" x14ac:dyDescent="0.25">
      <c r="A139" s="10">
        <v>45764</v>
      </c>
      <c r="B139" s="5" t="str">
        <f t="shared" si="16"/>
        <v>quinta-feira</v>
      </c>
      <c r="C139" s="12">
        <v>160314.32999999999</v>
      </c>
      <c r="D139" s="15">
        <v>2985</v>
      </c>
      <c r="E139" s="8">
        <f t="shared" si="17"/>
        <v>53.706643216080401</v>
      </c>
      <c r="F139" s="5">
        <f t="shared" si="18"/>
        <v>4</v>
      </c>
      <c r="G139" s="5">
        <f t="shared" si="19"/>
        <v>2025</v>
      </c>
      <c r="H139" s="6" t="str">
        <f>IF(A139&lt;&gt;" ",G139&amp;"-"&amp;F139&amp;"-"&amp;COUNTIFS($G$2:G139,G139,$F$2:F139,F139)," ")</f>
        <v>2025-4-17</v>
      </c>
      <c r="M139"/>
    </row>
    <row r="140" spans="1:13" ht="15" x14ac:dyDescent="0.25">
      <c r="A140" s="10">
        <v>45765</v>
      </c>
      <c r="B140" s="5" t="str">
        <f t="shared" si="16"/>
        <v>sexta-feira</v>
      </c>
      <c r="C140" s="12">
        <v>79200.44</v>
      </c>
      <c r="D140" s="15">
        <v>1535</v>
      </c>
      <c r="E140" s="8">
        <f t="shared" si="17"/>
        <v>51.596377850162867</v>
      </c>
      <c r="F140" s="5">
        <f t="shared" si="18"/>
        <v>4</v>
      </c>
      <c r="G140" s="5">
        <f t="shared" si="19"/>
        <v>2025</v>
      </c>
      <c r="H140" s="6" t="str">
        <f>IF(A140&lt;&gt;" ",G140&amp;"-"&amp;F140&amp;"-"&amp;COUNTIFS($G$2:G140,G140,$F$2:F140,F140)," ")</f>
        <v>2025-4-18</v>
      </c>
      <c r="M140"/>
    </row>
    <row r="141" spans="1:13" ht="15" x14ac:dyDescent="0.25">
      <c r="A141" s="10">
        <v>45766</v>
      </c>
      <c r="B141" s="5" t="str">
        <f t="shared" si="16"/>
        <v>sábado</v>
      </c>
      <c r="C141" s="12">
        <v>188451.31</v>
      </c>
      <c r="D141" s="15">
        <v>3054</v>
      </c>
      <c r="E141" s="8">
        <f t="shared" si="17"/>
        <v>61.706388343156519</v>
      </c>
      <c r="F141" s="5">
        <f t="shared" si="18"/>
        <v>4</v>
      </c>
      <c r="G141" s="5">
        <f t="shared" si="19"/>
        <v>2025</v>
      </c>
      <c r="H141" s="6" t="str">
        <f>IF(A141&lt;&gt;" ",G141&amp;"-"&amp;F141&amp;"-"&amp;COUNTIFS($G$2:G141,G141,$F$2:F141,F141)," ")</f>
        <v>2025-4-19</v>
      </c>
      <c r="M141"/>
    </row>
    <row r="142" spans="1:13" ht="15" x14ac:dyDescent="0.25">
      <c r="A142" s="10">
        <v>45767</v>
      </c>
      <c r="B142" s="5" t="str">
        <f t="shared" si="16"/>
        <v>domingo</v>
      </c>
      <c r="C142" s="12">
        <v>26791.98</v>
      </c>
      <c r="D142" s="15">
        <v>766</v>
      </c>
      <c r="E142" s="8">
        <f t="shared" si="17"/>
        <v>34.976475195822452</v>
      </c>
      <c r="F142" s="5">
        <f t="shared" si="18"/>
        <v>4</v>
      </c>
      <c r="G142" s="5">
        <f t="shared" si="19"/>
        <v>2025</v>
      </c>
      <c r="H142" s="6" t="str">
        <f>IF(A142&lt;&gt;" ",G142&amp;"-"&amp;F142&amp;"-"&amp;COUNTIFS($G$2:G142,G142,$F$2:F142,F142)," ")</f>
        <v>2025-4-20</v>
      </c>
      <c r="M142"/>
    </row>
    <row r="143" spans="1:13" ht="15" x14ac:dyDescent="0.25">
      <c r="A143" s="10">
        <v>45768</v>
      </c>
      <c r="B143" s="5" t="str">
        <f t="shared" si="16"/>
        <v>segunda-feira</v>
      </c>
      <c r="C143" s="12">
        <v>13457.77</v>
      </c>
      <c r="D143" s="15">
        <v>541</v>
      </c>
      <c r="E143" s="8">
        <f t="shared" si="17"/>
        <v>24.875730129390018</v>
      </c>
      <c r="F143" s="5">
        <f t="shared" si="18"/>
        <v>4</v>
      </c>
      <c r="G143" s="5">
        <f t="shared" si="19"/>
        <v>2025</v>
      </c>
      <c r="H143" s="6" t="str">
        <f>IF(A143&lt;&gt;" ",G143&amp;"-"&amp;F143&amp;"-"&amp;COUNTIFS($G$2:G143,G143,$F$2:F143,F143)," ")</f>
        <v>2025-4-21</v>
      </c>
      <c r="M143"/>
    </row>
    <row r="144" spans="1:13" ht="15" x14ac:dyDescent="0.25">
      <c r="A144" s="10">
        <v>45769</v>
      </c>
      <c r="B144" s="5" t="str">
        <f t="shared" si="16"/>
        <v>terça-feira</v>
      </c>
      <c r="C144" s="12">
        <v>41719.25</v>
      </c>
      <c r="D144" s="15">
        <v>1580</v>
      </c>
      <c r="E144" s="8">
        <f t="shared" si="17"/>
        <v>26.404588607594938</v>
      </c>
      <c r="F144" s="5">
        <f t="shared" si="18"/>
        <v>4</v>
      </c>
      <c r="G144" s="5">
        <f t="shared" si="19"/>
        <v>2025</v>
      </c>
      <c r="H144" s="6" t="str">
        <f>IF(A144&lt;&gt;" ",G144&amp;"-"&amp;F144&amp;"-"&amp;COUNTIFS($G$2:G144,G144,$F$2:F144,F144)," ")</f>
        <v>2025-4-22</v>
      </c>
      <c r="M144"/>
    </row>
    <row r="145" spans="1:13" ht="15" x14ac:dyDescent="0.25">
      <c r="A145" s="10">
        <v>45770</v>
      </c>
      <c r="B145" s="5" t="str">
        <f t="shared" si="16"/>
        <v>quarta-feira</v>
      </c>
      <c r="C145" s="12">
        <v>16372.37</v>
      </c>
      <c r="D145" s="15">
        <v>659</v>
      </c>
      <c r="E145" s="8">
        <f t="shared" si="17"/>
        <v>24.844264036418817</v>
      </c>
      <c r="F145" s="5">
        <f t="shared" si="18"/>
        <v>4</v>
      </c>
      <c r="G145" s="5">
        <f t="shared" si="19"/>
        <v>2025</v>
      </c>
      <c r="H145" s="6" t="str">
        <f>IF(A145&lt;&gt;" ",G145&amp;"-"&amp;F145&amp;"-"&amp;COUNTIFS($G$2:G145,G145,$F$2:F145,F145)," ")</f>
        <v>2025-4-23</v>
      </c>
      <c r="M145"/>
    </row>
    <row r="146" spans="1:13" ht="15" x14ac:dyDescent="0.25">
      <c r="A146" s="10">
        <v>45771</v>
      </c>
      <c r="B146" s="5" t="str">
        <f t="shared" si="16"/>
        <v>quinta-feira</v>
      </c>
      <c r="C146" s="12">
        <v>52962.94</v>
      </c>
      <c r="D146" s="15">
        <v>1740</v>
      </c>
      <c r="E146" s="8">
        <f t="shared" si="17"/>
        <v>30.438471264367816</v>
      </c>
      <c r="F146" s="5">
        <f t="shared" si="18"/>
        <v>4</v>
      </c>
      <c r="G146" s="5">
        <f t="shared" si="19"/>
        <v>2025</v>
      </c>
      <c r="H146" s="6" t="str">
        <f>IF(A146&lt;&gt;" ",G146&amp;"-"&amp;F146&amp;"-"&amp;COUNTIFS($G$2:G146,G146,$F$2:F146,F146)," ")</f>
        <v>2025-4-24</v>
      </c>
      <c r="M146"/>
    </row>
    <row r="147" spans="1:13" ht="15" x14ac:dyDescent="0.25">
      <c r="A147" s="10">
        <v>45772</v>
      </c>
      <c r="B147" s="5" t="str">
        <f t="shared" si="16"/>
        <v>sexta-feira</v>
      </c>
      <c r="C147" s="12">
        <v>35133.4</v>
      </c>
      <c r="D147" s="15">
        <v>1382</v>
      </c>
      <c r="E147" s="8">
        <f t="shared" si="17"/>
        <v>25.422141823444285</v>
      </c>
      <c r="F147" s="5">
        <f t="shared" si="18"/>
        <v>4</v>
      </c>
      <c r="G147" s="5">
        <f t="shared" si="19"/>
        <v>2025</v>
      </c>
      <c r="H147" s="6" t="str">
        <f>IF(A147&lt;&gt;" ",G147&amp;"-"&amp;F147&amp;"-"&amp;COUNTIFS($G$2:G147,G147,$F$2:F147,F147)," ")</f>
        <v>2025-4-25</v>
      </c>
      <c r="M147"/>
    </row>
    <row r="148" spans="1:13" ht="15" x14ac:dyDescent="0.25">
      <c r="A148" s="10">
        <v>45773</v>
      </c>
      <c r="B148" s="5" t="str">
        <f t="shared" si="16"/>
        <v>sábado</v>
      </c>
      <c r="C148" s="12">
        <v>38903</v>
      </c>
      <c r="D148" s="15">
        <v>1450</v>
      </c>
      <c r="E148" s="8">
        <f t="shared" si="17"/>
        <v>26.829655172413794</v>
      </c>
      <c r="F148" s="5">
        <f t="shared" si="18"/>
        <v>4</v>
      </c>
      <c r="G148" s="5">
        <f t="shared" si="19"/>
        <v>2025</v>
      </c>
      <c r="H148" s="6" t="str">
        <f>IF(A148&lt;&gt;" ",G148&amp;"-"&amp;F148&amp;"-"&amp;COUNTIFS($G$2:G148,G148,$F$2:F148,F148)," ")</f>
        <v>2025-4-26</v>
      </c>
      <c r="M148"/>
    </row>
    <row r="149" spans="1:13" ht="15" x14ac:dyDescent="0.25">
      <c r="A149" s="10">
        <v>45774</v>
      </c>
      <c r="B149" s="5" t="str">
        <f t="shared" si="16"/>
        <v>domingo</v>
      </c>
      <c r="C149" s="12">
        <v>12568.39</v>
      </c>
      <c r="D149" s="15">
        <v>590</v>
      </c>
      <c r="E149" s="8">
        <f t="shared" si="17"/>
        <v>21.30235593220339</v>
      </c>
      <c r="F149" s="5">
        <f t="shared" si="18"/>
        <v>4</v>
      </c>
      <c r="G149" s="5">
        <f t="shared" si="19"/>
        <v>2025</v>
      </c>
      <c r="H149" s="6" t="str">
        <f>IF(A149&lt;&gt;" ",G149&amp;"-"&amp;F149&amp;"-"&amp;COUNTIFS($G$2:G149,G149,$F$2:F149,F149)," ")</f>
        <v>2025-4-27</v>
      </c>
      <c r="M149"/>
    </row>
    <row r="150" spans="1:13" ht="15" x14ac:dyDescent="0.25">
      <c r="A150" s="10">
        <v>45775</v>
      </c>
      <c r="B150" s="5" t="str">
        <f t="shared" si="16"/>
        <v>segunda-feira</v>
      </c>
      <c r="C150" s="12">
        <v>40533.79</v>
      </c>
      <c r="D150" s="15">
        <v>1510</v>
      </c>
      <c r="E150" s="8">
        <f t="shared" si="17"/>
        <v>26.843569536423843</v>
      </c>
      <c r="F150" s="5">
        <f t="shared" si="18"/>
        <v>4</v>
      </c>
      <c r="G150" s="5">
        <f t="shared" si="19"/>
        <v>2025</v>
      </c>
      <c r="H150" s="6" t="str">
        <f>IF(A150&lt;&gt;" ",G150&amp;"-"&amp;F150&amp;"-"&amp;COUNTIFS($G$2:G150,G150,$F$2:F150,F150)," ")</f>
        <v>2025-4-28</v>
      </c>
      <c r="M150"/>
    </row>
    <row r="151" spans="1:13" ht="15" x14ac:dyDescent="0.25">
      <c r="A151" s="10">
        <v>45776</v>
      </c>
      <c r="B151" s="5" t="str">
        <f t="shared" si="16"/>
        <v>terça-feira</v>
      </c>
      <c r="C151" s="12">
        <v>46924.09</v>
      </c>
      <c r="D151" s="15">
        <v>1761</v>
      </c>
      <c r="E151" s="8">
        <f t="shared" si="17"/>
        <v>26.646274843838725</v>
      </c>
      <c r="F151" s="5">
        <f t="shared" si="18"/>
        <v>4</v>
      </c>
      <c r="G151" s="5">
        <f t="shared" si="19"/>
        <v>2025</v>
      </c>
      <c r="H151" s="6" t="str">
        <f>IF(A151&lt;&gt;" ",G151&amp;"-"&amp;F151&amp;"-"&amp;COUNTIFS($G$2:G151,G151,$F$2:F151,F151)," ")</f>
        <v>2025-4-29</v>
      </c>
      <c r="M151"/>
    </row>
    <row r="152" spans="1:13" ht="15" x14ac:dyDescent="0.25">
      <c r="A152" s="10">
        <v>45777</v>
      </c>
      <c r="B152" s="5" t="str">
        <f t="shared" si="16"/>
        <v>quarta-feira</v>
      </c>
      <c r="C152" s="12">
        <v>71644.259999999995</v>
      </c>
      <c r="D152" s="15">
        <v>2183</v>
      </c>
      <c r="E152" s="8">
        <f t="shared" si="17"/>
        <v>32.819175446633068</v>
      </c>
      <c r="F152" s="5">
        <f t="shared" si="18"/>
        <v>4</v>
      </c>
      <c r="G152" s="5">
        <f t="shared" si="19"/>
        <v>2025</v>
      </c>
      <c r="H152" s="6" t="str">
        <f>IF(A152&lt;&gt;" ",G152&amp;"-"&amp;F152&amp;"-"&amp;COUNTIFS($G$2:G152,G152,$F$2:F152,F152)," ")</f>
        <v>2025-4-30</v>
      </c>
      <c r="M152"/>
    </row>
    <row r="153" spans="1:13" ht="15" x14ac:dyDescent="0.25">
      <c r="A153" s="10">
        <v>45778</v>
      </c>
      <c r="B153" s="5" t="str">
        <f t="shared" si="16"/>
        <v>quinta-feira</v>
      </c>
      <c r="C153" s="13">
        <v>0</v>
      </c>
      <c r="D153" s="16">
        <v>0</v>
      </c>
      <c r="E153" s="8" t="str">
        <f t="shared" si="17"/>
        <v xml:space="preserve"> </v>
      </c>
      <c r="F153" s="5">
        <f t="shared" si="18"/>
        <v>5</v>
      </c>
      <c r="G153" s="5">
        <f t="shared" si="19"/>
        <v>2025</v>
      </c>
      <c r="H153" s="6" t="str">
        <f>IF(A153&lt;&gt;" ",G153&amp;"-"&amp;F153&amp;"-"&amp;COUNTIFS($G$2:G153,G153,$F$2:F153,F153)," ")</f>
        <v>2025-5-1</v>
      </c>
      <c r="M153"/>
    </row>
    <row r="154" spans="1:13" ht="15" x14ac:dyDescent="0.25">
      <c r="A154" s="10">
        <v>45779</v>
      </c>
      <c r="B154" s="5" t="str">
        <f t="shared" si="16"/>
        <v>sexta-feira</v>
      </c>
      <c r="C154" s="13">
        <v>55612.12</v>
      </c>
      <c r="D154" s="16">
        <v>1826</v>
      </c>
      <c r="E154" s="8">
        <f t="shared" si="17"/>
        <v>30.455706462212486</v>
      </c>
      <c r="F154" s="5">
        <f t="shared" si="18"/>
        <v>5</v>
      </c>
      <c r="G154" s="5">
        <f t="shared" si="19"/>
        <v>2025</v>
      </c>
      <c r="H154" s="6" t="str">
        <f>IF(A154&lt;&gt;" ",G154&amp;"-"&amp;F154&amp;"-"&amp;COUNTIFS($G$2:G154,G154,$F$2:F154,F154)," ")</f>
        <v>2025-5-2</v>
      </c>
      <c r="M154"/>
    </row>
    <row r="155" spans="1:13" ht="15" x14ac:dyDescent="0.25">
      <c r="A155" s="10">
        <v>45780</v>
      </c>
      <c r="B155" s="5" t="str">
        <f t="shared" si="16"/>
        <v>sábado</v>
      </c>
      <c r="C155" s="13">
        <v>38973.21</v>
      </c>
      <c r="D155" s="16">
        <v>1503</v>
      </c>
      <c r="E155" s="8">
        <f t="shared" si="17"/>
        <v>25.930279441117765</v>
      </c>
      <c r="F155" s="5">
        <f t="shared" si="18"/>
        <v>5</v>
      </c>
      <c r="G155" s="5">
        <f t="shared" si="19"/>
        <v>2025</v>
      </c>
      <c r="H155" s="6" t="str">
        <f>IF(A155&lt;&gt;" ",G155&amp;"-"&amp;F155&amp;"-"&amp;COUNTIFS($G$2:G155,G155,$F$2:F155,F155)," ")</f>
        <v>2025-5-3</v>
      </c>
      <c r="M155"/>
    </row>
    <row r="156" spans="1:13" ht="15" x14ac:dyDescent="0.25">
      <c r="A156" s="10">
        <v>45781</v>
      </c>
      <c r="B156" s="5" t="str">
        <f t="shared" si="16"/>
        <v>domingo</v>
      </c>
      <c r="C156" s="13">
        <v>11928.88</v>
      </c>
      <c r="D156" s="16">
        <v>571</v>
      </c>
      <c r="E156" s="8">
        <f t="shared" si="17"/>
        <v>20.891208406304727</v>
      </c>
      <c r="F156" s="5">
        <f t="shared" si="18"/>
        <v>5</v>
      </c>
      <c r="G156" s="5">
        <f t="shared" si="19"/>
        <v>2025</v>
      </c>
      <c r="H156" s="6" t="str">
        <f>IF(A156&lt;&gt;" ",G156&amp;"-"&amp;F156&amp;"-"&amp;COUNTIFS($G$2:G156,G156,$F$2:F156,F156)," ")</f>
        <v>2025-5-4</v>
      </c>
      <c r="M156"/>
    </row>
    <row r="157" spans="1:13" ht="15" x14ac:dyDescent="0.25">
      <c r="A157" s="10">
        <v>45782</v>
      </c>
      <c r="B157" s="5" t="str">
        <f t="shared" si="16"/>
        <v>segunda-feira</v>
      </c>
      <c r="C157" s="13">
        <v>41036.019999999997</v>
      </c>
      <c r="D157" s="16">
        <v>1540</v>
      </c>
      <c r="E157" s="8">
        <f t="shared" si="17"/>
        <v>26.646766233766233</v>
      </c>
      <c r="F157" s="5">
        <f t="shared" si="18"/>
        <v>5</v>
      </c>
      <c r="G157" s="5">
        <f t="shared" si="19"/>
        <v>2025</v>
      </c>
      <c r="H157" s="6" t="str">
        <f>IF(A157&lt;&gt;" ",G157&amp;"-"&amp;F157&amp;"-"&amp;COUNTIFS($G$2:G157,G157,$F$2:F157,F157)," ")</f>
        <v>2025-5-5</v>
      </c>
      <c r="M157"/>
    </row>
    <row r="158" spans="1:13" ht="15" x14ac:dyDescent="0.25">
      <c r="A158" s="10">
        <v>45783</v>
      </c>
      <c r="B158" s="5" t="str">
        <f t="shared" si="16"/>
        <v>terça-feira</v>
      </c>
      <c r="C158" s="13">
        <v>48107.1</v>
      </c>
      <c r="D158" s="16">
        <v>1786</v>
      </c>
      <c r="E158" s="8">
        <f t="shared" si="17"/>
        <v>26.935666293393055</v>
      </c>
      <c r="F158" s="5">
        <f t="shared" si="18"/>
        <v>5</v>
      </c>
      <c r="G158" s="5">
        <f t="shared" si="19"/>
        <v>2025</v>
      </c>
      <c r="H158" s="6" t="str">
        <f>IF(A158&lt;&gt;" ",G158&amp;"-"&amp;F158&amp;"-"&amp;COUNTIFS($G$2:G158,G158,$F$2:F158,F158)," ")</f>
        <v>2025-5-6</v>
      </c>
      <c r="M158"/>
    </row>
    <row r="159" spans="1:13" ht="15" x14ac:dyDescent="0.25">
      <c r="A159" s="10">
        <v>45784</v>
      </c>
      <c r="B159" s="5" t="str">
        <f t="shared" si="16"/>
        <v>quarta-feira</v>
      </c>
      <c r="C159" s="13">
        <v>55390.85</v>
      </c>
      <c r="D159" s="16">
        <v>1896</v>
      </c>
      <c r="E159" s="8">
        <f t="shared" si="17"/>
        <v>29.214583333333334</v>
      </c>
      <c r="F159" s="5">
        <f t="shared" si="18"/>
        <v>5</v>
      </c>
      <c r="G159" s="5">
        <f t="shared" si="19"/>
        <v>2025</v>
      </c>
      <c r="H159" s="6" t="str">
        <f>IF(A159&lt;&gt;" ",G159&amp;"-"&amp;F159&amp;"-"&amp;COUNTIFS($G$2:G159,G159,$F$2:F159,F159)," ")</f>
        <v>2025-5-7</v>
      </c>
      <c r="M159"/>
    </row>
    <row r="160" spans="1:13" ht="15" x14ac:dyDescent="0.25">
      <c r="A160" s="10">
        <v>45785</v>
      </c>
      <c r="B160" s="5" t="str">
        <f t="shared" si="16"/>
        <v>quinta-feira</v>
      </c>
      <c r="C160" s="13">
        <v>55712.61</v>
      </c>
      <c r="D160" s="16">
        <v>1819</v>
      </c>
      <c r="E160" s="8">
        <f t="shared" si="17"/>
        <v>30.62815283122595</v>
      </c>
      <c r="F160" s="5">
        <f t="shared" si="18"/>
        <v>5</v>
      </c>
      <c r="G160" s="5">
        <f t="shared" si="19"/>
        <v>2025</v>
      </c>
      <c r="H160" s="6" t="str">
        <f>IF(A160&lt;&gt;" ",G160&amp;"-"&amp;F160&amp;"-"&amp;COUNTIFS($G$2:G160,G160,$F$2:F160,F160)," ")</f>
        <v>2025-5-8</v>
      </c>
      <c r="M160"/>
    </row>
    <row r="161" spans="1:13" ht="15" x14ac:dyDescent="0.25">
      <c r="A161" s="10">
        <v>45786</v>
      </c>
      <c r="B161" s="5" t="str">
        <f t="shared" si="16"/>
        <v>sexta-feira</v>
      </c>
      <c r="C161" s="13">
        <v>59248.13</v>
      </c>
      <c r="D161" s="16">
        <v>1963</v>
      </c>
      <c r="E161" s="8">
        <f t="shared" si="17"/>
        <v>30.182440142638818</v>
      </c>
      <c r="F161" s="5">
        <f t="shared" si="18"/>
        <v>5</v>
      </c>
      <c r="G161" s="5">
        <f t="shared" si="19"/>
        <v>2025</v>
      </c>
      <c r="H161" s="6" t="str">
        <f>IF(A161&lt;&gt;" ",G161&amp;"-"&amp;F161&amp;"-"&amp;COUNTIFS($G$2:G161,G161,$F$2:F161,F161)," ")</f>
        <v>2025-5-9</v>
      </c>
      <c r="M161"/>
    </row>
    <row r="162" spans="1:13" ht="15" x14ac:dyDescent="0.25">
      <c r="A162" s="10">
        <v>45787</v>
      </c>
      <c r="B162" s="5" t="str">
        <f t="shared" ref="B162:B184" si="20">IF(A162&lt;&gt;" ",TEXT(A162,"dddd")," ")</f>
        <v>sábado</v>
      </c>
      <c r="C162" s="13">
        <v>58563.05</v>
      </c>
      <c r="D162" s="16">
        <v>1900</v>
      </c>
      <c r="E162" s="8">
        <f t="shared" si="17"/>
        <v>30.822657894736842</v>
      </c>
      <c r="F162" s="5">
        <f t="shared" ref="F162:F184" si="21">IF(A162&lt;&gt;" ",MONTH(A162)," ")</f>
        <v>5</v>
      </c>
      <c r="G162" s="5">
        <f t="shared" ref="G162:G184" si="22">IF(A162&lt;&gt;" ",YEAR(A162)," ")</f>
        <v>2025</v>
      </c>
      <c r="H162" s="6" t="str">
        <f>IF(A162&lt;&gt;" ",G162&amp;"-"&amp;F162&amp;"-"&amp;COUNTIFS($G$2:G162,G162,$F$2:F162,F162)," ")</f>
        <v>2025-5-10</v>
      </c>
      <c r="M162"/>
    </row>
    <row r="163" spans="1:13" ht="15" x14ac:dyDescent="0.25">
      <c r="A163" s="10">
        <v>45788</v>
      </c>
      <c r="B163" s="5" t="str">
        <f t="shared" si="20"/>
        <v>domingo</v>
      </c>
      <c r="C163" s="13">
        <v>13649.27</v>
      </c>
      <c r="D163" s="16">
        <v>563</v>
      </c>
      <c r="E163" s="8">
        <f t="shared" si="17"/>
        <v>24.243818827708704</v>
      </c>
      <c r="F163" s="5">
        <f t="shared" si="21"/>
        <v>5</v>
      </c>
      <c r="G163" s="5">
        <f t="shared" si="22"/>
        <v>2025</v>
      </c>
      <c r="H163" s="6" t="str">
        <f>IF(A163&lt;&gt;" ",G163&amp;"-"&amp;F163&amp;"-"&amp;COUNTIFS($G$2:G163,G163,$F$2:F163,F163)," ")</f>
        <v>2025-5-11</v>
      </c>
      <c r="M163"/>
    </row>
    <row r="164" spans="1:13" ht="15" x14ac:dyDescent="0.25">
      <c r="A164" s="10">
        <v>45789</v>
      </c>
      <c r="B164" s="5" t="str">
        <f t="shared" si="20"/>
        <v>segunda-feira</v>
      </c>
      <c r="C164" s="13">
        <v>40045.800000000003</v>
      </c>
      <c r="D164" s="16">
        <v>1531</v>
      </c>
      <c r="E164" s="8">
        <f t="shared" si="17"/>
        <v>26.156629653821035</v>
      </c>
      <c r="F164" s="5">
        <f t="shared" si="21"/>
        <v>5</v>
      </c>
      <c r="G164" s="5">
        <f t="shared" si="22"/>
        <v>2025</v>
      </c>
      <c r="H164" s="6" t="str">
        <f>IF(A164&lt;&gt;" ",G164&amp;"-"&amp;F164&amp;"-"&amp;COUNTIFS($G$2:G164,G164,$F$2:F164,F164)," ")</f>
        <v>2025-5-12</v>
      </c>
      <c r="M164"/>
    </row>
    <row r="165" spans="1:13" ht="15" x14ac:dyDescent="0.25">
      <c r="A165" s="10">
        <v>45790</v>
      </c>
      <c r="B165" s="5" t="str">
        <f t="shared" si="20"/>
        <v>terça-feira</v>
      </c>
      <c r="C165" s="13">
        <v>44934.6</v>
      </c>
      <c r="D165" s="16">
        <v>1725</v>
      </c>
      <c r="E165" s="8">
        <f t="shared" si="17"/>
        <v>26.04904347826087</v>
      </c>
      <c r="F165" s="5">
        <f t="shared" si="21"/>
        <v>5</v>
      </c>
      <c r="G165" s="5">
        <f t="shared" si="22"/>
        <v>2025</v>
      </c>
      <c r="H165" s="6" t="str">
        <f>IF(A165&lt;&gt;" ",G165&amp;"-"&amp;F165&amp;"-"&amp;COUNTIFS($G$2:G165,G165,$F$2:F165,F165)," ")</f>
        <v>2025-5-13</v>
      </c>
      <c r="M165"/>
    </row>
    <row r="166" spans="1:13" ht="15" x14ac:dyDescent="0.25">
      <c r="A166" s="10">
        <v>45791</v>
      </c>
      <c r="B166" s="5" t="str">
        <f t="shared" si="20"/>
        <v>quarta-feira</v>
      </c>
      <c r="C166" s="13">
        <v>42554.42</v>
      </c>
      <c r="D166" s="16">
        <v>1635</v>
      </c>
      <c r="E166" s="8">
        <f t="shared" si="17"/>
        <v>26.027168195718655</v>
      </c>
      <c r="F166" s="5">
        <f t="shared" si="21"/>
        <v>5</v>
      </c>
      <c r="G166" s="5">
        <f t="shared" si="22"/>
        <v>2025</v>
      </c>
      <c r="H166" s="6" t="str">
        <f>IF(A166&lt;&gt;" ",G166&amp;"-"&amp;F166&amp;"-"&amp;COUNTIFS($G$2:G166,G166,$F$2:F166,F166)," ")</f>
        <v>2025-5-14</v>
      </c>
      <c r="M166"/>
    </row>
    <row r="167" spans="1:13" ht="15" x14ac:dyDescent="0.25">
      <c r="A167" s="10">
        <v>45792</v>
      </c>
      <c r="B167" s="5" t="str">
        <f t="shared" si="20"/>
        <v>quinta-feira</v>
      </c>
      <c r="C167" s="13">
        <v>41633.279999999999</v>
      </c>
      <c r="D167" s="16">
        <v>1502</v>
      </c>
      <c r="E167" s="8">
        <f t="shared" si="17"/>
        <v>27.718561917443409</v>
      </c>
      <c r="F167" s="5">
        <f t="shared" si="21"/>
        <v>5</v>
      </c>
      <c r="G167" s="5">
        <f t="shared" si="22"/>
        <v>2025</v>
      </c>
      <c r="H167" s="6" t="str">
        <f>IF(A167&lt;&gt;" ",G167&amp;"-"&amp;F167&amp;"-"&amp;COUNTIFS($G$2:G167,G167,$F$2:F167,F167)," ")</f>
        <v>2025-5-15</v>
      </c>
      <c r="M167"/>
    </row>
    <row r="168" spans="1:13" ht="15" x14ac:dyDescent="0.25">
      <c r="A168" s="10">
        <v>45793</v>
      </c>
      <c r="B168" s="5" t="str">
        <f t="shared" si="20"/>
        <v>sexta-feira</v>
      </c>
      <c r="C168" s="13">
        <v>52092.27</v>
      </c>
      <c r="D168" s="16">
        <v>1848</v>
      </c>
      <c r="E168" s="8">
        <f t="shared" si="17"/>
        <v>28.188457792207789</v>
      </c>
      <c r="F168" s="5">
        <f t="shared" si="21"/>
        <v>5</v>
      </c>
      <c r="G168" s="5">
        <f t="shared" si="22"/>
        <v>2025</v>
      </c>
      <c r="H168" s="6" t="str">
        <f>IF(A168&lt;&gt;" ",G168&amp;"-"&amp;F168&amp;"-"&amp;COUNTIFS($G$2:G168,G168,$F$2:F168,F168)," ")</f>
        <v>2025-5-16</v>
      </c>
      <c r="M168"/>
    </row>
    <row r="169" spans="1:13" ht="15" x14ac:dyDescent="0.25">
      <c r="A169" s="10">
        <v>45794</v>
      </c>
      <c r="B169" s="5" t="str">
        <f t="shared" si="20"/>
        <v>sábado</v>
      </c>
      <c r="C169" s="13">
        <v>47753.5</v>
      </c>
      <c r="D169" s="16">
        <v>1657</v>
      </c>
      <c r="E169" s="8">
        <f t="shared" si="17"/>
        <v>28.819251659625831</v>
      </c>
      <c r="F169" s="5">
        <f t="shared" si="21"/>
        <v>5</v>
      </c>
      <c r="G169" s="5">
        <f t="shared" si="22"/>
        <v>2025</v>
      </c>
      <c r="H169" s="6" t="str">
        <f>IF(A169&lt;&gt;" ",G169&amp;"-"&amp;F169&amp;"-"&amp;COUNTIFS($G$2:G169,G169,$F$2:F169,F169)," ")</f>
        <v>2025-5-17</v>
      </c>
      <c r="M169"/>
    </row>
    <row r="170" spans="1:13" ht="15" x14ac:dyDescent="0.25">
      <c r="A170" s="10">
        <v>45795</v>
      </c>
      <c r="B170" s="5" t="str">
        <f t="shared" si="20"/>
        <v>domingo</v>
      </c>
      <c r="C170" s="13">
        <v>17069.13</v>
      </c>
      <c r="D170" s="16">
        <v>724</v>
      </c>
      <c r="E170" s="8">
        <f t="shared" si="17"/>
        <v>23.576146408839779</v>
      </c>
      <c r="F170" s="5">
        <f t="shared" si="21"/>
        <v>5</v>
      </c>
      <c r="G170" s="5">
        <f t="shared" si="22"/>
        <v>2025</v>
      </c>
      <c r="H170" s="6" t="str">
        <f>IF(A170&lt;&gt;" ",G170&amp;"-"&amp;F170&amp;"-"&amp;COUNTIFS($G$2:G170,G170,$F$2:F170,F170)," ")</f>
        <v>2025-5-18</v>
      </c>
      <c r="M170"/>
    </row>
    <row r="171" spans="1:13" ht="15" x14ac:dyDescent="0.25">
      <c r="A171" s="10">
        <v>45796</v>
      </c>
      <c r="B171" s="5" t="str">
        <f t="shared" si="20"/>
        <v>segunda-feira</v>
      </c>
      <c r="C171" s="13">
        <v>52068.08</v>
      </c>
      <c r="D171" s="16">
        <v>1728</v>
      </c>
      <c r="E171" s="8">
        <f t="shared" si="17"/>
        <v>30.131990740740743</v>
      </c>
      <c r="F171" s="5">
        <f t="shared" si="21"/>
        <v>5</v>
      </c>
      <c r="G171" s="5">
        <f t="shared" si="22"/>
        <v>2025</v>
      </c>
      <c r="H171" s="6" t="str">
        <f>IF(A171&lt;&gt;" ",G171&amp;"-"&amp;F171&amp;"-"&amp;COUNTIFS($G$2:G171,G171,$F$2:F171,F171)," ")</f>
        <v>2025-5-19</v>
      </c>
      <c r="M171"/>
    </row>
    <row r="172" spans="1:13" ht="15" x14ac:dyDescent="0.25">
      <c r="A172" s="10">
        <v>45797</v>
      </c>
      <c r="B172" s="5" t="str">
        <f t="shared" si="20"/>
        <v>terça-feira</v>
      </c>
      <c r="C172" s="13">
        <v>57954.59</v>
      </c>
      <c r="D172" s="16">
        <v>1882</v>
      </c>
      <c r="E172" s="8">
        <f t="shared" si="17"/>
        <v>30.794149840595111</v>
      </c>
      <c r="F172" s="5">
        <f t="shared" si="21"/>
        <v>5</v>
      </c>
      <c r="G172" s="5">
        <f t="shared" si="22"/>
        <v>2025</v>
      </c>
      <c r="H172" s="6" t="str">
        <f>IF(A172&lt;&gt;" ",G172&amp;"-"&amp;F172&amp;"-"&amp;COUNTIFS($G$2:G172,G172,$F$2:F172,F172)," ")</f>
        <v>2025-5-20</v>
      </c>
      <c r="M172"/>
    </row>
    <row r="173" spans="1:13" ht="15" x14ac:dyDescent="0.25">
      <c r="A173" s="10">
        <v>45798</v>
      </c>
      <c r="B173" s="5" t="str">
        <f t="shared" si="20"/>
        <v>quarta-feira</v>
      </c>
      <c r="C173" s="13">
        <v>51066.07</v>
      </c>
      <c r="D173" s="16">
        <v>1770</v>
      </c>
      <c r="E173" s="8">
        <f t="shared" si="17"/>
        <v>28.850887005649717</v>
      </c>
      <c r="F173" s="5">
        <f t="shared" si="21"/>
        <v>5</v>
      </c>
      <c r="G173" s="5">
        <f t="shared" si="22"/>
        <v>2025</v>
      </c>
      <c r="H173" s="6" t="str">
        <f>IF(A173&lt;&gt;" ",G173&amp;"-"&amp;F173&amp;"-"&amp;COUNTIFS($G$2:G173,G173,$F$2:F173,F173)," ")</f>
        <v>2025-5-21</v>
      </c>
      <c r="M173"/>
    </row>
    <row r="174" spans="1:13" ht="15" x14ac:dyDescent="0.25">
      <c r="A174" s="10">
        <v>45799</v>
      </c>
      <c r="B174" s="5" t="str">
        <f t="shared" si="20"/>
        <v>quinta-feira</v>
      </c>
      <c r="C174" s="13">
        <v>69548.539999999994</v>
      </c>
      <c r="D174" s="16">
        <v>2053</v>
      </c>
      <c r="E174" s="8">
        <f t="shared" si="17"/>
        <v>33.876541646371159</v>
      </c>
      <c r="F174" s="5">
        <f t="shared" si="21"/>
        <v>5</v>
      </c>
      <c r="G174" s="5">
        <f t="shared" si="22"/>
        <v>2025</v>
      </c>
      <c r="H174" s="6" t="str">
        <f>IF(A174&lt;&gt;" ",G174&amp;"-"&amp;F174&amp;"-"&amp;COUNTIFS($G$2:G174,G174,$F$2:F174,F174)," ")</f>
        <v>2025-5-22</v>
      </c>
      <c r="M174"/>
    </row>
    <row r="175" spans="1:13" ht="15" x14ac:dyDescent="0.25">
      <c r="A175" s="10">
        <v>45800</v>
      </c>
      <c r="B175" s="5" t="str">
        <f t="shared" si="20"/>
        <v>sexta-feira</v>
      </c>
      <c r="C175" s="13">
        <v>48126.67</v>
      </c>
      <c r="D175" s="16">
        <v>1756</v>
      </c>
      <c r="E175" s="8">
        <f t="shared" si="17"/>
        <v>27.406987471526193</v>
      </c>
      <c r="F175" s="5">
        <f t="shared" si="21"/>
        <v>5</v>
      </c>
      <c r="G175" s="5">
        <f t="shared" si="22"/>
        <v>2025</v>
      </c>
      <c r="H175" s="6" t="str">
        <f>IF(A175&lt;&gt;" ",G175&amp;"-"&amp;F175&amp;"-"&amp;COUNTIFS($G$2:G175,G175,$F$2:F175,F175)," ")</f>
        <v>2025-5-23</v>
      </c>
      <c r="M175"/>
    </row>
    <row r="176" spans="1:13" ht="15" x14ac:dyDescent="0.25">
      <c r="A176" s="10">
        <v>45801</v>
      </c>
      <c r="B176" s="5" t="str">
        <f t="shared" si="20"/>
        <v>sábado</v>
      </c>
      <c r="C176" s="13">
        <v>44093.69</v>
      </c>
      <c r="D176" s="16">
        <v>1557</v>
      </c>
      <c r="E176" s="8">
        <f t="shared" si="17"/>
        <v>28.319646756583175</v>
      </c>
      <c r="F176" s="5">
        <f t="shared" si="21"/>
        <v>5</v>
      </c>
      <c r="G176" s="5">
        <f t="shared" si="22"/>
        <v>2025</v>
      </c>
      <c r="H176" s="6" t="str">
        <f>IF(A176&lt;&gt;" ",G176&amp;"-"&amp;F176&amp;"-"&amp;COUNTIFS($G$2:G176,G176,$F$2:F176,F176)," ")</f>
        <v>2025-5-24</v>
      </c>
      <c r="M176"/>
    </row>
    <row r="177" spans="1:13" ht="15" x14ac:dyDescent="0.25">
      <c r="A177" s="10">
        <v>45802</v>
      </c>
      <c r="B177" s="5" t="str">
        <f t="shared" si="20"/>
        <v>domingo</v>
      </c>
      <c r="C177" s="13">
        <v>15304.41</v>
      </c>
      <c r="D177" s="16">
        <v>676</v>
      </c>
      <c r="E177" s="8">
        <f t="shared" si="17"/>
        <v>22.63965976331361</v>
      </c>
      <c r="F177" s="5">
        <f t="shared" si="21"/>
        <v>5</v>
      </c>
      <c r="G177" s="5">
        <f t="shared" si="22"/>
        <v>2025</v>
      </c>
      <c r="H177" s="6" t="str">
        <f>IF(A177&lt;&gt;" ",G177&amp;"-"&amp;F177&amp;"-"&amp;COUNTIFS($G$2:G177,G177,$F$2:F177,F177)," ")</f>
        <v>2025-5-25</v>
      </c>
      <c r="M177"/>
    </row>
    <row r="178" spans="1:13" ht="15" x14ac:dyDescent="0.25">
      <c r="A178" s="10">
        <v>45803</v>
      </c>
      <c r="B178" s="5" t="str">
        <f t="shared" si="20"/>
        <v>segunda-feira</v>
      </c>
      <c r="C178" s="13">
        <v>39598.83</v>
      </c>
      <c r="D178" s="16">
        <v>1573</v>
      </c>
      <c r="E178" s="8">
        <f t="shared" si="17"/>
        <v>25.174081373172282</v>
      </c>
      <c r="F178" s="5">
        <f t="shared" si="21"/>
        <v>5</v>
      </c>
      <c r="G178" s="5">
        <f t="shared" si="22"/>
        <v>2025</v>
      </c>
      <c r="H178" s="6" t="str">
        <f>IF(A178&lt;&gt;" ",G178&amp;"-"&amp;F178&amp;"-"&amp;COUNTIFS($G$2:G178,G178,$F$2:F178,F178)," ")</f>
        <v>2025-5-26</v>
      </c>
      <c r="M178"/>
    </row>
    <row r="179" spans="1:13" ht="15" x14ac:dyDescent="0.25">
      <c r="A179" s="10">
        <v>45804</v>
      </c>
      <c r="B179" s="5" t="str">
        <f t="shared" si="20"/>
        <v>terça-feira</v>
      </c>
      <c r="C179" s="13">
        <v>43539.65</v>
      </c>
      <c r="D179" s="16">
        <v>1726</v>
      </c>
      <c r="E179" s="8">
        <f t="shared" si="17"/>
        <v>25.225753186558517</v>
      </c>
      <c r="F179" s="5">
        <f t="shared" si="21"/>
        <v>5</v>
      </c>
      <c r="G179" s="5">
        <f t="shared" si="22"/>
        <v>2025</v>
      </c>
      <c r="H179" s="6" t="str">
        <f>IF(A179&lt;&gt;" ",G179&amp;"-"&amp;F179&amp;"-"&amp;COUNTIFS($G$2:G179,G179,$F$2:F179,F179)," ")</f>
        <v>2025-5-27</v>
      </c>
      <c r="M179"/>
    </row>
    <row r="180" spans="1:13" ht="15" x14ac:dyDescent="0.25">
      <c r="A180" s="10">
        <v>45805</v>
      </c>
      <c r="B180" s="5" t="str">
        <f t="shared" si="20"/>
        <v>quarta-feira</v>
      </c>
      <c r="C180" s="13">
        <v>41781.480000000003</v>
      </c>
      <c r="D180" s="16">
        <v>1709</v>
      </c>
      <c r="E180" s="8">
        <f t="shared" si="17"/>
        <v>24.447911059098889</v>
      </c>
      <c r="F180" s="5">
        <f t="shared" si="21"/>
        <v>5</v>
      </c>
      <c r="G180" s="5">
        <f t="shared" si="22"/>
        <v>2025</v>
      </c>
      <c r="H180" s="6" t="str">
        <f>IF(A180&lt;&gt;" ",G180&amp;"-"&amp;F180&amp;"-"&amp;COUNTIFS($G$2:G180,G180,$F$2:F180,F180)," ")</f>
        <v>2025-5-28</v>
      </c>
      <c r="M180"/>
    </row>
    <row r="181" spans="1:13" ht="15" x14ac:dyDescent="0.25">
      <c r="A181" s="10">
        <v>45806</v>
      </c>
      <c r="B181" s="5" t="str">
        <f t="shared" si="20"/>
        <v>quinta-feira</v>
      </c>
      <c r="C181" s="13">
        <v>59648.86</v>
      </c>
      <c r="D181" s="16">
        <v>1832</v>
      </c>
      <c r="E181" s="8">
        <f t="shared" si="17"/>
        <v>32.559421397379914</v>
      </c>
      <c r="F181" s="5">
        <f t="shared" si="21"/>
        <v>5</v>
      </c>
      <c r="G181" s="5">
        <f t="shared" si="22"/>
        <v>2025</v>
      </c>
      <c r="H181" s="6" t="str">
        <f>IF(A181&lt;&gt;" ",G181&amp;"-"&amp;F181&amp;"-"&amp;COUNTIFS($G$2:G181,G181,$F$2:F181,F181)," ")</f>
        <v>2025-5-29</v>
      </c>
      <c r="M181"/>
    </row>
    <row r="182" spans="1:13" ht="15" x14ac:dyDescent="0.25">
      <c r="A182" s="10">
        <v>45807</v>
      </c>
      <c r="B182" s="5" t="str">
        <f t="shared" si="20"/>
        <v>sexta-feira</v>
      </c>
      <c r="C182" s="13">
        <v>53494.28</v>
      </c>
      <c r="D182" s="16">
        <v>1844</v>
      </c>
      <c r="E182" s="8">
        <f t="shared" si="17"/>
        <v>29.009913232104122</v>
      </c>
      <c r="F182" s="5">
        <f t="shared" si="21"/>
        <v>5</v>
      </c>
      <c r="G182" s="5">
        <f t="shared" si="22"/>
        <v>2025</v>
      </c>
      <c r="H182" s="6" t="str">
        <f>IF(A182&lt;&gt;" ",G182&amp;"-"&amp;F182&amp;"-"&amp;COUNTIFS($G$2:G182,G182,$F$2:F182,F182)," ")</f>
        <v>2025-5-30</v>
      </c>
      <c r="M182"/>
    </row>
    <row r="183" spans="1:13" ht="15" x14ac:dyDescent="0.25">
      <c r="A183" s="10">
        <v>45808</v>
      </c>
      <c r="B183" s="5" t="str">
        <f t="shared" si="20"/>
        <v>sábado</v>
      </c>
      <c r="C183" s="12">
        <v>52203.79</v>
      </c>
      <c r="D183" s="15">
        <v>1687</v>
      </c>
      <c r="E183" s="8">
        <f t="shared" si="17"/>
        <v>30.944748073503259</v>
      </c>
      <c r="F183" s="5">
        <f t="shared" si="21"/>
        <v>5</v>
      </c>
      <c r="G183" s="5">
        <f t="shared" si="22"/>
        <v>2025</v>
      </c>
      <c r="H183" s="6" t="str">
        <f>IF(A183&lt;&gt;" ",G183&amp;"-"&amp;F183&amp;"-"&amp;COUNTIFS($G$2:G183,G183,$F$2:F183,F183)," ")</f>
        <v>2025-5-31</v>
      </c>
      <c r="M183"/>
    </row>
    <row r="184" spans="1:13" ht="15" x14ac:dyDescent="0.25">
      <c r="A184" s="10">
        <v>45809</v>
      </c>
      <c r="B184" s="3" t="str">
        <f t="shared" si="20"/>
        <v>domingo</v>
      </c>
      <c r="C184" s="13">
        <v>18235.96</v>
      </c>
      <c r="D184" s="16">
        <v>720</v>
      </c>
      <c r="E184" s="8">
        <f t="shared" si="17"/>
        <v>25.327722222222221</v>
      </c>
      <c r="F184" s="3">
        <f t="shared" si="21"/>
        <v>6</v>
      </c>
      <c r="G184" s="3">
        <f t="shared" si="22"/>
        <v>2025</v>
      </c>
      <c r="H184" s="6" t="str">
        <f>IF(A184&lt;&gt;" ",G184&amp;"-"&amp;F184&amp;"-"&amp;COUNTIFS($G$2:G184,G184,$F$2:F184,F184)," ")</f>
        <v>2025-6-1</v>
      </c>
      <c r="M184"/>
    </row>
    <row r="185" spans="1:13" ht="15" x14ac:dyDescent="0.25">
      <c r="A185" s="10">
        <v>45810</v>
      </c>
      <c r="B185" s="3" t="str">
        <f t="shared" ref="B185:B214" si="23">IF(A185&lt;&gt;" ",TEXT(A185,"dddd")," ")</f>
        <v>segunda-feira</v>
      </c>
      <c r="C185" s="13">
        <v>41284.160000000003</v>
      </c>
      <c r="D185" s="16">
        <v>1512</v>
      </c>
      <c r="E185" s="8">
        <f t="shared" si="17"/>
        <v>27.304338624338627</v>
      </c>
      <c r="F185" s="3">
        <f t="shared" ref="F185:F214" si="24">IF(A185&lt;&gt;" ",MONTH(A185)," ")</f>
        <v>6</v>
      </c>
      <c r="G185" s="3">
        <f t="shared" ref="G185:G214" si="25">IF(A185&lt;&gt;" ",YEAR(A185)," ")</f>
        <v>2025</v>
      </c>
      <c r="H185" s="6" t="str">
        <f>IF(A185&lt;&gt;" ",G185&amp;"-"&amp;F185&amp;"-"&amp;COUNTIFS($G$2:G185,G185,$F$2:F185,F185)," ")</f>
        <v>2025-6-2</v>
      </c>
      <c r="M185"/>
    </row>
    <row r="186" spans="1:13" ht="15" x14ac:dyDescent="0.25">
      <c r="A186" s="10">
        <v>45811</v>
      </c>
      <c r="B186" s="3" t="str">
        <f t="shared" si="23"/>
        <v>terça-feira</v>
      </c>
      <c r="C186" s="13">
        <v>50095.87</v>
      </c>
      <c r="D186" s="16">
        <v>1827</v>
      </c>
      <c r="E186" s="8">
        <f t="shared" si="17"/>
        <v>27.419742747673784</v>
      </c>
      <c r="F186" s="3">
        <f t="shared" si="24"/>
        <v>6</v>
      </c>
      <c r="G186" s="3">
        <f t="shared" si="25"/>
        <v>2025</v>
      </c>
      <c r="H186" s="6" t="str">
        <f>IF(A186&lt;&gt;" ",G186&amp;"-"&amp;F186&amp;"-"&amp;COUNTIFS($G$2:G186,G186,$F$2:F186,F186)," ")</f>
        <v>2025-6-3</v>
      </c>
      <c r="M186"/>
    </row>
    <row r="187" spans="1:13" ht="15" x14ac:dyDescent="0.25">
      <c r="A187" s="10">
        <v>45812</v>
      </c>
      <c r="B187" s="3" t="str">
        <f t="shared" si="23"/>
        <v>quarta-feira</v>
      </c>
      <c r="C187" s="13">
        <v>51225.48</v>
      </c>
      <c r="D187" s="16">
        <v>1802</v>
      </c>
      <c r="E187" s="8">
        <f t="shared" si="17"/>
        <v>28.427014428412875</v>
      </c>
      <c r="F187" s="3">
        <f t="shared" si="24"/>
        <v>6</v>
      </c>
      <c r="G187" s="3">
        <f t="shared" si="25"/>
        <v>2025</v>
      </c>
      <c r="H187" s="6" t="str">
        <f>IF(A187&lt;&gt;" ",G187&amp;"-"&amp;F187&amp;"-"&amp;COUNTIFS($G$2:G187,G187,$F$2:F187,F187)," ")</f>
        <v>2025-6-4</v>
      </c>
      <c r="M187"/>
    </row>
    <row r="188" spans="1:13" ht="15" x14ac:dyDescent="0.25">
      <c r="A188" s="10">
        <v>45813</v>
      </c>
      <c r="B188" s="3" t="str">
        <f t="shared" si="23"/>
        <v>quinta-feira</v>
      </c>
      <c r="C188" s="13">
        <v>51695.72</v>
      </c>
      <c r="D188" s="16">
        <v>1765</v>
      </c>
      <c r="E188" s="8">
        <f t="shared" si="17"/>
        <v>29.289359773371107</v>
      </c>
      <c r="F188" s="3">
        <f t="shared" si="24"/>
        <v>6</v>
      </c>
      <c r="G188" s="3">
        <f t="shared" si="25"/>
        <v>2025</v>
      </c>
      <c r="H188" s="6" t="str">
        <f>IF(A188&lt;&gt;" ",G188&amp;"-"&amp;F188&amp;"-"&amp;COUNTIFS($G$2:G188,G188,$F$2:F188,F188)," ")</f>
        <v>2025-6-5</v>
      </c>
      <c r="M188"/>
    </row>
    <row r="189" spans="1:13" ht="15" x14ac:dyDescent="0.25">
      <c r="A189" s="10">
        <v>45814</v>
      </c>
      <c r="B189" s="3" t="str">
        <f t="shared" si="23"/>
        <v>sexta-feira</v>
      </c>
      <c r="C189" s="13">
        <v>62448.32</v>
      </c>
      <c r="D189" s="16">
        <v>2066</v>
      </c>
      <c r="E189" s="8">
        <f t="shared" si="17"/>
        <v>30.226679574056146</v>
      </c>
      <c r="F189" s="3">
        <f t="shared" si="24"/>
        <v>6</v>
      </c>
      <c r="G189" s="3">
        <f t="shared" si="25"/>
        <v>2025</v>
      </c>
      <c r="H189" s="6" t="str">
        <f>IF(A189&lt;&gt;" ",G189&amp;"-"&amp;F189&amp;"-"&amp;COUNTIFS($G$2:G189,G189,$F$2:F189,F189)," ")</f>
        <v>2025-6-6</v>
      </c>
      <c r="M189"/>
    </row>
    <row r="190" spans="1:13" ht="15" x14ac:dyDescent="0.25">
      <c r="A190" s="10">
        <v>45815</v>
      </c>
      <c r="B190" s="3" t="str">
        <f t="shared" si="23"/>
        <v>sábado</v>
      </c>
      <c r="C190" s="13">
        <v>55926.26</v>
      </c>
      <c r="D190" s="16">
        <v>1845</v>
      </c>
      <c r="E190" s="8">
        <f t="shared" si="17"/>
        <v>30.312336043360435</v>
      </c>
      <c r="F190" s="3">
        <f t="shared" si="24"/>
        <v>6</v>
      </c>
      <c r="G190" s="3">
        <f t="shared" si="25"/>
        <v>2025</v>
      </c>
      <c r="H190" s="6" t="str">
        <f>IF(A190&lt;&gt;" ",G190&amp;"-"&amp;F190&amp;"-"&amp;COUNTIFS($G$2:G190,G190,$F$2:F190,F190)," ")</f>
        <v>2025-6-7</v>
      </c>
      <c r="M190"/>
    </row>
    <row r="191" spans="1:13" ht="15" x14ac:dyDescent="0.25">
      <c r="A191" s="10">
        <v>45816</v>
      </c>
      <c r="B191" s="3" t="str">
        <f t="shared" si="23"/>
        <v>domingo</v>
      </c>
      <c r="C191" s="13">
        <v>19617.16</v>
      </c>
      <c r="D191" s="16">
        <v>774</v>
      </c>
      <c r="E191" s="8">
        <f t="shared" si="17"/>
        <v>25.345167958656329</v>
      </c>
      <c r="F191" s="3">
        <f t="shared" si="24"/>
        <v>6</v>
      </c>
      <c r="G191" s="3">
        <f t="shared" si="25"/>
        <v>2025</v>
      </c>
      <c r="H191" s="6" t="str">
        <f>IF(A191&lt;&gt;" ",G191&amp;"-"&amp;F191&amp;"-"&amp;COUNTIFS($G$2:G191,G191,$F$2:F191,F191)," ")</f>
        <v>2025-6-8</v>
      </c>
      <c r="M191"/>
    </row>
    <row r="192" spans="1:13" ht="15" x14ac:dyDescent="0.25">
      <c r="A192" s="10">
        <v>45817</v>
      </c>
      <c r="B192" s="3" t="str">
        <f t="shared" si="23"/>
        <v>segunda-feira</v>
      </c>
      <c r="C192" s="13">
        <v>47193.04</v>
      </c>
      <c r="D192" s="16">
        <v>1700</v>
      </c>
      <c r="E192" s="8">
        <f t="shared" si="17"/>
        <v>27.760611764705882</v>
      </c>
      <c r="F192" s="3">
        <f t="shared" si="24"/>
        <v>6</v>
      </c>
      <c r="G192" s="3">
        <f t="shared" si="25"/>
        <v>2025</v>
      </c>
      <c r="H192" s="6" t="str">
        <f>IF(A192&lt;&gt;" ",G192&amp;"-"&amp;F192&amp;"-"&amp;COUNTIFS($G$2:G192,G192,$F$2:F192,F192)," ")</f>
        <v>2025-6-9</v>
      </c>
      <c r="M192"/>
    </row>
    <row r="193" spans="1:13" ht="15" x14ac:dyDescent="0.25">
      <c r="A193" s="10">
        <v>45818</v>
      </c>
      <c r="B193" s="3" t="str">
        <f t="shared" si="23"/>
        <v>terça-feira</v>
      </c>
      <c r="C193" s="13">
        <v>54285.2</v>
      </c>
      <c r="D193" s="16">
        <v>1870</v>
      </c>
      <c r="E193" s="8">
        <f t="shared" si="17"/>
        <v>29.029518716577538</v>
      </c>
      <c r="F193" s="3">
        <f t="shared" si="24"/>
        <v>6</v>
      </c>
      <c r="G193" s="3">
        <f t="shared" si="25"/>
        <v>2025</v>
      </c>
      <c r="H193" s="6" t="str">
        <f>IF(A193&lt;&gt;" ",G193&amp;"-"&amp;F193&amp;"-"&amp;COUNTIFS($G$2:G193,G193,$F$2:F193,F193)," ")</f>
        <v>2025-6-10</v>
      </c>
      <c r="M193"/>
    </row>
    <row r="194" spans="1:13" ht="15" x14ac:dyDescent="0.25">
      <c r="A194" s="10">
        <v>45819</v>
      </c>
      <c r="B194" s="3" t="str">
        <f t="shared" si="23"/>
        <v>quarta-feira</v>
      </c>
      <c r="C194" s="13">
        <v>55893.4</v>
      </c>
      <c r="D194" s="16">
        <v>1957</v>
      </c>
      <c r="E194" s="8">
        <f t="shared" ref="E194:E214" si="26">IF(D194&gt;0,C194/D194," ")</f>
        <v>28.560756259580991</v>
      </c>
      <c r="F194" s="3">
        <f t="shared" si="24"/>
        <v>6</v>
      </c>
      <c r="G194" s="3">
        <f t="shared" si="25"/>
        <v>2025</v>
      </c>
      <c r="H194" s="6" t="str">
        <f>IF(A194&lt;&gt;" ",G194&amp;"-"&amp;F194&amp;"-"&amp;COUNTIFS($G$2:G194,G194,$F$2:F194,F194)," ")</f>
        <v>2025-6-11</v>
      </c>
      <c r="M194"/>
    </row>
    <row r="195" spans="1:13" ht="15" x14ac:dyDescent="0.25">
      <c r="A195" s="10">
        <v>45820</v>
      </c>
      <c r="B195" s="3" t="str">
        <f t="shared" si="23"/>
        <v>quinta-feira</v>
      </c>
      <c r="C195" s="13">
        <v>66544.05</v>
      </c>
      <c r="D195" s="16">
        <v>1953</v>
      </c>
      <c r="E195" s="8">
        <f t="shared" si="26"/>
        <v>34.072734254992319</v>
      </c>
      <c r="F195" s="3">
        <f t="shared" si="24"/>
        <v>6</v>
      </c>
      <c r="G195" s="3">
        <f t="shared" si="25"/>
        <v>2025</v>
      </c>
      <c r="H195" s="6" t="str">
        <f>IF(A195&lt;&gt;" ",G195&amp;"-"&amp;F195&amp;"-"&amp;COUNTIFS($G$2:G195,G195,$F$2:F195,F195)," ")</f>
        <v>2025-6-12</v>
      </c>
      <c r="M195"/>
    </row>
    <row r="196" spans="1:13" ht="15" x14ac:dyDescent="0.25">
      <c r="A196" s="10">
        <v>45821</v>
      </c>
      <c r="B196" s="3" t="str">
        <f t="shared" si="23"/>
        <v>sexta-feira</v>
      </c>
      <c r="C196" s="13">
        <v>58166.11</v>
      </c>
      <c r="D196" s="16">
        <v>1961</v>
      </c>
      <c r="E196" s="8">
        <f t="shared" si="26"/>
        <v>29.661453340132585</v>
      </c>
      <c r="F196" s="3">
        <f t="shared" si="24"/>
        <v>6</v>
      </c>
      <c r="G196" s="3">
        <f t="shared" si="25"/>
        <v>2025</v>
      </c>
      <c r="H196" s="6" t="str">
        <f>IF(A196&lt;&gt;" ",G196&amp;"-"&amp;F196&amp;"-"&amp;COUNTIFS($G$2:G196,G196,$F$2:F196,F196)," ")</f>
        <v>2025-6-13</v>
      </c>
      <c r="M196"/>
    </row>
    <row r="197" spans="1:13" ht="15" x14ac:dyDescent="0.25">
      <c r="A197" s="10">
        <v>45822</v>
      </c>
      <c r="B197" s="3" t="str">
        <f t="shared" si="23"/>
        <v>sábado</v>
      </c>
      <c r="C197" s="13">
        <v>59996.480000000003</v>
      </c>
      <c r="D197" s="16">
        <v>1785</v>
      </c>
      <c r="E197" s="8">
        <f t="shared" si="26"/>
        <v>33.611473389355744</v>
      </c>
      <c r="F197" s="3">
        <f t="shared" si="24"/>
        <v>6</v>
      </c>
      <c r="G197" s="3">
        <f t="shared" si="25"/>
        <v>2025</v>
      </c>
      <c r="H197" s="6" t="str">
        <f>IF(A197&lt;&gt;" ",G197&amp;"-"&amp;F197&amp;"-"&amp;COUNTIFS($G$2:G197,G197,$F$2:F197,F197)," ")</f>
        <v>2025-6-14</v>
      </c>
      <c r="M197"/>
    </row>
    <row r="198" spans="1:13" ht="15" x14ac:dyDescent="0.25">
      <c r="A198" s="10">
        <v>45823</v>
      </c>
      <c r="B198" s="3" t="str">
        <f t="shared" si="23"/>
        <v>domingo</v>
      </c>
      <c r="C198" s="13">
        <v>20819.02</v>
      </c>
      <c r="D198" s="16">
        <v>799</v>
      </c>
      <c r="E198" s="8">
        <f t="shared" si="26"/>
        <v>26.056345431789737</v>
      </c>
      <c r="F198" s="3">
        <f t="shared" si="24"/>
        <v>6</v>
      </c>
      <c r="G198" s="3">
        <f t="shared" si="25"/>
        <v>2025</v>
      </c>
      <c r="H198" s="6" t="str">
        <f>IF(A198&lt;&gt;" ",G198&amp;"-"&amp;F198&amp;"-"&amp;COUNTIFS($G$2:G198,G198,$F$2:F198,F198)," ")</f>
        <v>2025-6-15</v>
      </c>
      <c r="M198"/>
    </row>
    <row r="199" spans="1:13" ht="15" x14ac:dyDescent="0.25">
      <c r="A199" s="10">
        <v>45824</v>
      </c>
      <c r="B199" s="3" t="str">
        <f t="shared" si="23"/>
        <v>segunda-feira</v>
      </c>
      <c r="C199" s="13">
        <v>46359.99</v>
      </c>
      <c r="D199" s="16">
        <v>1724</v>
      </c>
      <c r="E199" s="8">
        <f t="shared" si="26"/>
        <v>26.890945475638048</v>
      </c>
      <c r="F199" s="3">
        <f t="shared" si="24"/>
        <v>6</v>
      </c>
      <c r="G199" s="3">
        <f t="shared" si="25"/>
        <v>2025</v>
      </c>
      <c r="H199" s="6" t="str">
        <f>IF(A199&lt;&gt;" ",G199&amp;"-"&amp;F199&amp;"-"&amp;COUNTIFS($G$2:G199,G199,$F$2:F199,F199)," ")</f>
        <v>2025-6-16</v>
      </c>
      <c r="M199"/>
    </row>
    <row r="200" spans="1:13" ht="15" x14ac:dyDescent="0.25">
      <c r="A200" s="10">
        <v>45825</v>
      </c>
      <c r="B200" s="3" t="str">
        <f t="shared" si="23"/>
        <v>terça-feira</v>
      </c>
      <c r="C200" s="13">
        <v>55818.53</v>
      </c>
      <c r="D200" s="16">
        <v>1920</v>
      </c>
      <c r="E200" s="8">
        <f t="shared" si="26"/>
        <v>29.072151041666665</v>
      </c>
      <c r="F200" s="3">
        <f t="shared" si="24"/>
        <v>6</v>
      </c>
      <c r="G200" s="3">
        <f t="shared" si="25"/>
        <v>2025</v>
      </c>
      <c r="H200" s="6" t="str">
        <f>IF(A200&lt;&gt;" ",G200&amp;"-"&amp;F200&amp;"-"&amp;COUNTIFS($G$2:G200,G200,$F$2:F200,F200)," ")</f>
        <v>2025-6-17</v>
      </c>
      <c r="M200"/>
    </row>
    <row r="201" spans="1:13" ht="15" x14ac:dyDescent="0.25">
      <c r="A201" s="10">
        <v>45826</v>
      </c>
      <c r="B201" s="3" t="str">
        <f t="shared" si="23"/>
        <v>quarta-feira</v>
      </c>
      <c r="C201" s="13">
        <v>59533.26</v>
      </c>
      <c r="D201" s="16">
        <v>1975</v>
      </c>
      <c r="E201" s="8">
        <f t="shared" si="26"/>
        <v>30.143422784810127</v>
      </c>
      <c r="F201" s="3">
        <f t="shared" si="24"/>
        <v>6</v>
      </c>
      <c r="G201" s="3">
        <f t="shared" si="25"/>
        <v>2025</v>
      </c>
      <c r="H201" s="6" t="str">
        <f>IF(A201&lt;&gt;" ",G201&amp;"-"&amp;F201&amp;"-"&amp;COUNTIFS($G$2:G201,G201,$F$2:F201,F201)," ")</f>
        <v>2025-6-18</v>
      </c>
      <c r="M201"/>
    </row>
    <row r="202" spans="1:13" ht="15" x14ac:dyDescent="0.25">
      <c r="A202" s="10">
        <v>45827</v>
      </c>
      <c r="B202" s="3" t="str">
        <f t="shared" si="23"/>
        <v>quinta-feira</v>
      </c>
      <c r="C202" s="13">
        <v>20981.360000000001</v>
      </c>
      <c r="D202" s="16">
        <v>755</v>
      </c>
      <c r="E202" s="8">
        <f t="shared" si="26"/>
        <v>27.789880794701986</v>
      </c>
      <c r="F202" s="3">
        <f t="shared" si="24"/>
        <v>6</v>
      </c>
      <c r="G202" s="3">
        <f t="shared" si="25"/>
        <v>2025</v>
      </c>
      <c r="H202" s="6" t="str">
        <f>IF(A202&lt;&gt;" ",G202&amp;"-"&amp;F202&amp;"-"&amp;COUNTIFS($G$2:G202,G202,$F$2:F202,F202)," ")</f>
        <v>2025-6-19</v>
      </c>
      <c r="M202"/>
    </row>
    <row r="203" spans="1:13" ht="15" x14ac:dyDescent="0.25">
      <c r="A203" s="10">
        <v>45828</v>
      </c>
      <c r="B203" s="3" t="str">
        <f t="shared" si="23"/>
        <v>sexta-feira</v>
      </c>
      <c r="C203" s="13">
        <v>61523.199999999997</v>
      </c>
      <c r="D203" s="16">
        <v>1999</v>
      </c>
      <c r="E203" s="8">
        <f t="shared" si="26"/>
        <v>30.776988494247121</v>
      </c>
      <c r="F203" s="3">
        <f t="shared" si="24"/>
        <v>6</v>
      </c>
      <c r="G203" s="3">
        <f t="shared" si="25"/>
        <v>2025</v>
      </c>
      <c r="H203" s="6" t="str">
        <f>IF(A203&lt;&gt;" ",G203&amp;"-"&amp;F203&amp;"-"&amp;COUNTIFS($G$2:G203,G203,$F$2:F203,F203)," ")</f>
        <v>2025-6-20</v>
      </c>
      <c r="M203"/>
    </row>
    <row r="204" spans="1:13" ht="15" x14ac:dyDescent="0.25">
      <c r="A204" s="10">
        <v>45829</v>
      </c>
      <c r="B204" s="3" t="str">
        <f t="shared" si="23"/>
        <v>sábado</v>
      </c>
      <c r="C204" s="13">
        <v>52170.93</v>
      </c>
      <c r="D204" s="16">
        <v>1709</v>
      </c>
      <c r="E204" s="8">
        <f t="shared" si="26"/>
        <v>30.5271679344646</v>
      </c>
      <c r="F204" s="3">
        <f t="shared" si="24"/>
        <v>6</v>
      </c>
      <c r="G204" s="3">
        <f t="shared" si="25"/>
        <v>2025</v>
      </c>
      <c r="H204" s="6" t="str">
        <f>IF(A204&lt;&gt;" ",G204&amp;"-"&amp;F204&amp;"-"&amp;COUNTIFS($G$2:G204,G204,$F$2:F204,F204)," ")</f>
        <v>2025-6-21</v>
      </c>
      <c r="M204"/>
    </row>
    <row r="205" spans="1:13" ht="15" x14ac:dyDescent="0.25">
      <c r="A205" s="10">
        <v>45830</v>
      </c>
      <c r="B205" s="3" t="str">
        <f t="shared" si="23"/>
        <v>domingo</v>
      </c>
      <c r="C205" s="13">
        <v>17468.68</v>
      </c>
      <c r="D205" s="16">
        <v>741</v>
      </c>
      <c r="E205" s="8">
        <f t="shared" si="26"/>
        <v>23.5744669365722</v>
      </c>
      <c r="F205" s="3">
        <f t="shared" si="24"/>
        <v>6</v>
      </c>
      <c r="G205" s="3">
        <f t="shared" si="25"/>
        <v>2025</v>
      </c>
      <c r="H205" s="6" t="str">
        <f>IF(A205&lt;&gt;" ",G205&amp;"-"&amp;F205&amp;"-"&amp;COUNTIFS($G$2:G205,G205,$F$2:F205,F205)," ")</f>
        <v>2025-6-22</v>
      </c>
      <c r="M205"/>
    </row>
    <row r="206" spans="1:13" ht="15" x14ac:dyDescent="0.25">
      <c r="A206" s="10">
        <v>45831</v>
      </c>
      <c r="B206" s="3" t="str">
        <f t="shared" si="23"/>
        <v>segunda-feira</v>
      </c>
      <c r="C206" s="13">
        <v>38393.07</v>
      </c>
      <c r="D206" s="16">
        <v>1631</v>
      </c>
      <c r="E206" s="8">
        <f t="shared" si="26"/>
        <v>23.539589209074187</v>
      </c>
      <c r="F206" s="3">
        <f t="shared" si="24"/>
        <v>6</v>
      </c>
      <c r="G206" s="3">
        <f t="shared" si="25"/>
        <v>2025</v>
      </c>
      <c r="H206" s="6" t="str">
        <f>IF(A206&lt;&gt;" ",G206&amp;"-"&amp;F206&amp;"-"&amp;COUNTIFS($G$2:G206,G206,$F$2:F206,F206)," ")</f>
        <v>2025-6-23</v>
      </c>
      <c r="M206"/>
    </row>
    <row r="207" spans="1:13" ht="15" x14ac:dyDescent="0.25">
      <c r="A207" s="10">
        <v>45832</v>
      </c>
      <c r="B207" s="3" t="str">
        <f t="shared" si="23"/>
        <v>terça-feira</v>
      </c>
      <c r="C207" s="13">
        <v>49264.55</v>
      </c>
      <c r="D207" s="16">
        <v>1834</v>
      </c>
      <c r="E207" s="8">
        <f t="shared" si="26"/>
        <v>26.861804798255182</v>
      </c>
      <c r="F207" s="3">
        <f t="shared" si="24"/>
        <v>6</v>
      </c>
      <c r="G207" s="3">
        <f t="shared" si="25"/>
        <v>2025</v>
      </c>
      <c r="H207" s="6" t="str">
        <f>IF(A207&lt;&gt;" ",G207&amp;"-"&amp;F207&amp;"-"&amp;COUNTIFS($G$2:G207,G207,$F$2:F207,F207)," ")</f>
        <v>2025-6-24</v>
      </c>
      <c r="M207"/>
    </row>
    <row r="208" spans="1:13" ht="15" x14ac:dyDescent="0.25">
      <c r="A208" s="10">
        <v>45833</v>
      </c>
      <c r="B208" s="3" t="str">
        <f t="shared" si="23"/>
        <v>quarta-feira</v>
      </c>
      <c r="C208" s="13">
        <v>43534.7</v>
      </c>
      <c r="D208" s="16">
        <v>1740</v>
      </c>
      <c r="E208" s="8">
        <f t="shared" si="26"/>
        <v>25.01994252873563</v>
      </c>
      <c r="F208" s="3">
        <f t="shared" si="24"/>
        <v>6</v>
      </c>
      <c r="G208" s="3">
        <f t="shared" si="25"/>
        <v>2025</v>
      </c>
      <c r="H208" s="6" t="str">
        <f>IF(A208&lt;&gt;" ",G208&amp;"-"&amp;F208&amp;"-"&amp;COUNTIFS($G$2:G208,G208,$F$2:F208,F208)," ")</f>
        <v>2025-6-25</v>
      </c>
      <c r="M208"/>
    </row>
    <row r="209" spans="1:13" ht="15" x14ac:dyDescent="0.25">
      <c r="A209" s="10">
        <v>45834</v>
      </c>
      <c r="B209" s="3" t="str">
        <f t="shared" si="23"/>
        <v>quinta-feira</v>
      </c>
      <c r="C209" s="13">
        <v>62973.35</v>
      </c>
      <c r="D209" s="16">
        <v>1827</v>
      </c>
      <c r="E209" s="8">
        <f t="shared" si="26"/>
        <v>34.468171866447726</v>
      </c>
      <c r="F209" s="3">
        <f t="shared" si="24"/>
        <v>6</v>
      </c>
      <c r="G209" s="3">
        <f t="shared" si="25"/>
        <v>2025</v>
      </c>
      <c r="H209" s="6" t="str">
        <f>IF(A209&lt;&gt;" ",G209&amp;"-"&amp;F209&amp;"-"&amp;COUNTIFS($G$2:G209,G209,$F$2:F209,F209)," ")</f>
        <v>2025-6-26</v>
      </c>
      <c r="M209"/>
    </row>
    <row r="210" spans="1:13" ht="15" x14ac:dyDescent="0.25">
      <c r="A210" s="10">
        <v>45835</v>
      </c>
      <c r="B210" s="3" t="str">
        <f t="shared" si="23"/>
        <v>sexta-feira</v>
      </c>
      <c r="C210" s="13">
        <v>62641.54</v>
      </c>
      <c r="D210" s="16">
        <v>2012</v>
      </c>
      <c r="E210" s="8">
        <f t="shared" si="26"/>
        <v>31.133966202783302</v>
      </c>
      <c r="F210" s="3">
        <f t="shared" si="24"/>
        <v>6</v>
      </c>
      <c r="G210" s="3">
        <f t="shared" si="25"/>
        <v>2025</v>
      </c>
      <c r="H210" s="6" t="str">
        <f>IF(A210&lt;&gt;" ",G210&amp;"-"&amp;F210&amp;"-"&amp;COUNTIFS($G$2:G210,G210,$F$2:F210,F210)," ")</f>
        <v>2025-6-27</v>
      </c>
      <c r="M210"/>
    </row>
    <row r="211" spans="1:13" ht="15" x14ac:dyDescent="0.25">
      <c r="A211" s="10">
        <v>45836</v>
      </c>
      <c r="B211" s="3" t="str">
        <f t="shared" si="23"/>
        <v>sábado</v>
      </c>
      <c r="C211" s="13">
        <v>54382.34</v>
      </c>
      <c r="D211" s="16">
        <v>1789</v>
      </c>
      <c r="E211" s="8">
        <f t="shared" si="26"/>
        <v>30.398177752934597</v>
      </c>
      <c r="F211" s="3">
        <f t="shared" si="24"/>
        <v>6</v>
      </c>
      <c r="G211" s="3">
        <f t="shared" si="25"/>
        <v>2025</v>
      </c>
      <c r="H211" s="6" t="str">
        <f>IF(A211&lt;&gt;" ",G211&amp;"-"&amp;F211&amp;"-"&amp;COUNTIFS($G$2:G211,G211,$F$2:F211,F211)," ")</f>
        <v>2025-6-28</v>
      </c>
      <c r="M211"/>
    </row>
    <row r="212" spans="1:13" ht="15" x14ac:dyDescent="0.25">
      <c r="A212" s="10">
        <v>45837</v>
      </c>
      <c r="B212" s="3" t="str">
        <f t="shared" si="23"/>
        <v>domingo</v>
      </c>
      <c r="C212" s="13">
        <v>20454.52</v>
      </c>
      <c r="D212" s="16">
        <v>807</v>
      </c>
      <c r="E212" s="8">
        <f t="shared" si="26"/>
        <v>25.346369268897149</v>
      </c>
      <c r="F212" s="3">
        <f t="shared" si="24"/>
        <v>6</v>
      </c>
      <c r="G212" s="3">
        <f t="shared" si="25"/>
        <v>2025</v>
      </c>
      <c r="H212" s="6" t="str">
        <f>IF(A212&lt;&gt;" ",G212&amp;"-"&amp;F212&amp;"-"&amp;COUNTIFS($G$2:G212,G212,$F$2:F212,F212)," ")</f>
        <v>2025-6-29</v>
      </c>
      <c r="M212"/>
    </row>
    <row r="213" spans="1:13" ht="15" x14ac:dyDescent="0.25">
      <c r="A213" s="10">
        <v>45838</v>
      </c>
      <c r="B213" s="3" t="str">
        <f t="shared" si="23"/>
        <v>segunda-feira</v>
      </c>
      <c r="C213" s="13">
        <v>47489.46</v>
      </c>
      <c r="D213" s="16">
        <v>1758</v>
      </c>
      <c r="E213" s="8">
        <f t="shared" si="26"/>
        <v>27.013344709897609</v>
      </c>
      <c r="F213" s="3">
        <f t="shared" si="24"/>
        <v>6</v>
      </c>
      <c r="G213" s="3">
        <f t="shared" si="25"/>
        <v>2025</v>
      </c>
      <c r="H213" s="6" t="str">
        <f>IF(A213&lt;&gt;" ",G213&amp;"-"&amp;F213&amp;"-"&amp;COUNTIFS($G$2:G213,G213,$F$2:F213,F213)," ")</f>
        <v>2025-6-30</v>
      </c>
      <c r="M213"/>
    </row>
    <row r="214" spans="1:13" ht="15" x14ac:dyDescent="0.25">
      <c r="A214" s="11">
        <v>45839</v>
      </c>
      <c r="B214" s="7" t="str">
        <f t="shared" si="23"/>
        <v>terça-feira</v>
      </c>
      <c r="C214" s="14">
        <v>52027.12</v>
      </c>
      <c r="D214" s="17">
        <v>1835</v>
      </c>
      <c r="E214" s="8">
        <f t="shared" si="26"/>
        <v>28.35265395095368</v>
      </c>
      <c r="F214" s="7">
        <f t="shared" si="24"/>
        <v>7</v>
      </c>
      <c r="G214" s="7">
        <f t="shared" si="25"/>
        <v>2025</v>
      </c>
      <c r="H214" s="6" t="str">
        <f>IF(A214&lt;&gt;" ",G214&amp;"-"&amp;F214&amp;"-"&amp;COUNTIFS($G$2:G214,G214,$F$2:F214,F214)," ")</f>
        <v>2025-7-1</v>
      </c>
      <c r="M214"/>
    </row>
    <row r="215" spans="1:13" ht="15" x14ac:dyDescent="0.25">
      <c r="A215" s="11">
        <v>45840</v>
      </c>
      <c r="B215" s="3" t="str">
        <f t="shared" ref="B215:B216" si="27">IF(A215&lt;&gt;" ",TEXT(A215,"dddd")," ")</f>
        <v>quarta-feira</v>
      </c>
      <c r="C215" s="13">
        <v>47142.43</v>
      </c>
      <c r="D215" s="16">
        <v>1673</v>
      </c>
      <c r="E215" s="4">
        <f t="shared" ref="E215:E216" si="28">IF(D215&gt;0,C215/D215," ")</f>
        <v>28.178380155409446</v>
      </c>
      <c r="F215" s="3">
        <f t="shared" ref="F215:F216" si="29">IF(A215&lt;&gt;" ",MONTH(A215)," ")</f>
        <v>7</v>
      </c>
      <c r="G215" s="3">
        <f t="shared" ref="G215:G216" si="30">IF(A215&lt;&gt;" ",YEAR(A215)," ")</f>
        <v>2025</v>
      </c>
      <c r="H215" s="6" t="str">
        <f>IF(A215&lt;&gt;" ",G215&amp;"-"&amp;F215&amp;"-"&amp;COUNTIFS($G$2:G215,G215,$F$2:F215,F215)," ")</f>
        <v>2025-7-2</v>
      </c>
      <c r="M215"/>
    </row>
    <row r="216" spans="1:13" ht="15" x14ac:dyDescent="0.25">
      <c r="A216" s="11">
        <v>45841</v>
      </c>
      <c r="B216" s="3" t="str">
        <f t="shared" si="27"/>
        <v>quinta-feira</v>
      </c>
      <c r="C216" s="13">
        <v>58487.8</v>
      </c>
      <c r="D216" s="16">
        <v>1872</v>
      </c>
      <c r="E216" s="4">
        <f t="shared" si="28"/>
        <v>31.243482905982908</v>
      </c>
      <c r="F216" s="3">
        <f t="shared" si="29"/>
        <v>7</v>
      </c>
      <c r="G216" s="3">
        <f t="shared" si="30"/>
        <v>2025</v>
      </c>
      <c r="H216" s="6" t="str">
        <f>IF(A216&lt;&gt;" ",G216&amp;"-"&amp;F216&amp;"-"&amp;COUNTIFS($G$2:G216,G216,$F$2:F216,F216)," ")</f>
        <v>2025-7-3</v>
      </c>
      <c r="M216"/>
    </row>
    <row r="217" spans="1:13" ht="15" x14ac:dyDescent="0.25">
      <c r="A217" s="11">
        <v>45842</v>
      </c>
      <c r="B217" s="3" t="str">
        <f t="shared" ref="B217:B280" si="31">IF(A217&lt;&gt;" ",TEXT(A217,"dddd")," ")</f>
        <v>sexta-feira</v>
      </c>
      <c r="C217" s="13">
        <v>56945.2</v>
      </c>
      <c r="D217" s="16">
        <v>2035</v>
      </c>
      <c r="E217" s="4">
        <f t="shared" ref="E217:E280" si="32">IF(D217&gt;0,C217/D217," ")</f>
        <v>27.982899262899263</v>
      </c>
      <c r="F217" s="3">
        <f t="shared" ref="F217:F280" si="33">IF(A217&lt;&gt;" ",MONTH(A217)," ")</f>
        <v>7</v>
      </c>
      <c r="G217" s="3">
        <f t="shared" ref="G217:G280" si="34">IF(A217&lt;&gt;" ",YEAR(A217)," ")</f>
        <v>2025</v>
      </c>
      <c r="H217" s="6" t="str">
        <f>IF(A217&lt;&gt;" ",G217&amp;"-"&amp;F217&amp;"-"&amp;COUNTIFS($G$2:G217,G217,$F$2:F217,F217)," ")</f>
        <v>2025-7-4</v>
      </c>
      <c r="M217"/>
    </row>
    <row r="218" spans="1:13" ht="15" x14ac:dyDescent="0.25">
      <c r="A218" s="11">
        <v>45843</v>
      </c>
      <c r="B218" s="3" t="str">
        <f t="shared" si="31"/>
        <v>sábado</v>
      </c>
      <c r="C218" s="13">
        <v>56193.38</v>
      </c>
      <c r="D218" s="16">
        <v>1744</v>
      </c>
      <c r="E218" s="4">
        <f t="shared" si="32"/>
        <v>32.220974770642201</v>
      </c>
      <c r="F218" s="3">
        <f t="shared" si="33"/>
        <v>7</v>
      </c>
      <c r="G218" s="3">
        <f t="shared" si="34"/>
        <v>2025</v>
      </c>
      <c r="H218" s="6" t="str">
        <f>IF(A218&lt;&gt;" ",G218&amp;"-"&amp;F218&amp;"-"&amp;COUNTIFS($G$2:G218,G218,$F$2:F218,F218)," ")</f>
        <v>2025-7-5</v>
      </c>
      <c r="M218"/>
    </row>
    <row r="219" spans="1:13" ht="15" x14ac:dyDescent="0.25">
      <c r="A219" s="11">
        <v>45844</v>
      </c>
      <c r="B219" s="3" t="str">
        <f t="shared" si="31"/>
        <v>domingo</v>
      </c>
      <c r="C219" s="13">
        <v>20915.04</v>
      </c>
      <c r="D219" s="16">
        <v>826</v>
      </c>
      <c r="E219" s="4">
        <f t="shared" si="32"/>
        <v>25.320871670702179</v>
      </c>
      <c r="F219" s="3">
        <f t="shared" si="33"/>
        <v>7</v>
      </c>
      <c r="G219" s="3">
        <f t="shared" si="34"/>
        <v>2025</v>
      </c>
      <c r="H219" s="6" t="str">
        <f>IF(A219&lt;&gt;" ",G219&amp;"-"&amp;F219&amp;"-"&amp;COUNTIFS($G$2:G219,G219,$F$2:F219,F219)," ")</f>
        <v>2025-7-6</v>
      </c>
      <c r="M219"/>
    </row>
    <row r="220" spans="1:13" x14ac:dyDescent="0.25">
      <c r="A220" s="11">
        <v>45845</v>
      </c>
      <c r="B220" s="3" t="str">
        <f t="shared" si="31"/>
        <v>segunda-feira</v>
      </c>
      <c r="C220" s="13">
        <v>58854.03</v>
      </c>
      <c r="D220" s="16">
        <v>1990</v>
      </c>
      <c r="E220" s="4">
        <f t="shared" si="32"/>
        <v>29.574889447236181</v>
      </c>
      <c r="F220" s="3">
        <f t="shared" si="33"/>
        <v>7</v>
      </c>
      <c r="G220" s="3">
        <f t="shared" si="34"/>
        <v>2025</v>
      </c>
      <c r="H220" s="6" t="str">
        <f>IF(A220&lt;&gt;" ",G220&amp;"-"&amp;F220&amp;"-"&amp;COUNTIFS($G$2:G220,G220,$F$2:F220,F220)," ")</f>
        <v>2025-7-7</v>
      </c>
    </row>
    <row r="221" spans="1:13" x14ac:dyDescent="0.25">
      <c r="A221" s="11">
        <v>45846</v>
      </c>
      <c r="B221" s="3" t="str">
        <f t="shared" si="31"/>
        <v>terça-feira</v>
      </c>
      <c r="C221" s="13">
        <v>56699.09</v>
      </c>
      <c r="D221" s="16">
        <v>2053</v>
      </c>
      <c r="E221" s="4">
        <f t="shared" si="32"/>
        <v>27.617676570871893</v>
      </c>
      <c r="F221" s="3">
        <f t="shared" si="33"/>
        <v>7</v>
      </c>
      <c r="G221" s="3">
        <f t="shared" si="34"/>
        <v>2025</v>
      </c>
      <c r="H221" s="6" t="str">
        <f>IF(A221&lt;&gt;" ",G221&amp;"-"&amp;F221&amp;"-"&amp;COUNTIFS($G$2:G221,G221,$F$2:F221,F221)," ")</f>
        <v>2025-7-8</v>
      </c>
    </row>
    <row r="222" spans="1:13" x14ac:dyDescent="0.25">
      <c r="A222" s="11">
        <v>45847</v>
      </c>
      <c r="B222" s="3" t="str">
        <f t="shared" si="31"/>
        <v>quarta-feira</v>
      </c>
      <c r="C222" s="13">
        <v>57461.99</v>
      </c>
      <c r="D222" s="16">
        <v>2031</v>
      </c>
      <c r="E222" s="4">
        <f t="shared" si="32"/>
        <v>28.29246184145741</v>
      </c>
      <c r="F222" s="3">
        <f t="shared" si="33"/>
        <v>7</v>
      </c>
      <c r="G222" s="3">
        <f t="shared" si="34"/>
        <v>2025</v>
      </c>
      <c r="H222" s="6" t="str">
        <f>IF(A222&lt;&gt;" ",G222&amp;"-"&amp;F222&amp;"-"&amp;COUNTIFS($G$2:G222,G222,$F$2:F222,F222)," ")</f>
        <v>2025-7-9</v>
      </c>
    </row>
    <row r="223" spans="1:13" x14ac:dyDescent="0.25">
      <c r="A223" s="11">
        <v>45848</v>
      </c>
      <c r="B223" s="3" t="str">
        <f t="shared" si="31"/>
        <v>quinta-feira</v>
      </c>
      <c r="C223" s="13">
        <v>54299.98</v>
      </c>
      <c r="D223" s="16">
        <v>1875</v>
      </c>
      <c r="E223" s="4">
        <f t="shared" si="32"/>
        <v>28.959989333333336</v>
      </c>
      <c r="F223" s="3">
        <f t="shared" si="33"/>
        <v>7</v>
      </c>
      <c r="G223" s="3">
        <f t="shared" si="34"/>
        <v>2025</v>
      </c>
      <c r="H223" s="6" t="str">
        <f>IF(A223&lt;&gt;" ",G223&amp;"-"&amp;F223&amp;"-"&amp;COUNTIFS($G$2:G223,G223,$F$2:F223,F223)," ")</f>
        <v>2025-7-10</v>
      </c>
    </row>
    <row r="224" spans="1:13" x14ac:dyDescent="0.25">
      <c r="A224" s="11">
        <v>45849</v>
      </c>
      <c r="B224" s="3" t="str">
        <f t="shared" si="31"/>
        <v>sexta-feira</v>
      </c>
      <c r="C224" s="13">
        <v>57432.69</v>
      </c>
      <c r="D224" s="16">
        <v>1890</v>
      </c>
      <c r="E224" s="4">
        <f t="shared" si="32"/>
        <v>30.387666666666668</v>
      </c>
      <c r="F224" s="3">
        <f t="shared" si="33"/>
        <v>7</v>
      </c>
      <c r="G224" s="3">
        <f t="shared" si="34"/>
        <v>2025</v>
      </c>
      <c r="H224" s="6" t="str">
        <f>IF(A224&lt;&gt;" ",G224&amp;"-"&amp;F224&amp;"-"&amp;COUNTIFS($G$2:G224,G224,$F$2:F224,F224)," ")</f>
        <v>2025-7-11</v>
      </c>
    </row>
    <row r="225" spans="1:8" x14ac:dyDescent="0.25">
      <c r="A225" s="11">
        <v>45850</v>
      </c>
      <c r="B225" s="3" t="str">
        <f t="shared" si="31"/>
        <v>sábado</v>
      </c>
      <c r="C225" s="13">
        <v>49117.05</v>
      </c>
      <c r="D225" s="16">
        <v>1689</v>
      </c>
      <c r="E225" s="4">
        <f t="shared" si="32"/>
        <v>29.08055062166963</v>
      </c>
      <c r="F225" s="3">
        <f t="shared" si="33"/>
        <v>7</v>
      </c>
      <c r="G225" s="3">
        <f t="shared" si="34"/>
        <v>2025</v>
      </c>
      <c r="H225" s="6" t="str">
        <f>IF(A225&lt;&gt;" ",G225&amp;"-"&amp;F225&amp;"-"&amp;COUNTIFS($G$2:G225,G225,$F$2:F225,F225)," ")</f>
        <v>2025-7-12</v>
      </c>
    </row>
    <row r="226" spans="1:8" x14ac:dyDescent="0.25">
      <c r="A226" s="11">
        <v>45851</v>
      </c>
      <c r="B226" s="3" t="str">
        <f t="shared" si="31"/>
        <v>domingo</v>
      </c>
      <c r="C226" s="13">
        <v>19691.89</v>
      </c>
      <c r="D226" s="16">
        <v>797</v>
      </c>
      <c r="E226" s="4">
        <f t="shared" si="32"/>
        <v>24.707515683814304</v>
      </c>
      <c r="F226" s="3">
        <f t="shared" si="33"/>
        <v>7</v>
      </c>
      <c r="G226" s="3">
        <f t="shared" si="34"/>
        <v>2025</v>
      </c>
      <c r="H226" s="6" t="str">
        <f>IF(A226&lt;&gt;" ",G226&amp;"-"&amp;F226&amp;"-"&amp;COUNTIFS($G$2:G226,G226,$F$2:F226,F226)," ")</f>
        <v>2025-7-13</v>
      </c>
    </row>
    <row r="227" spans="1:8" x14ac:dyDescent="0.25">
      <c r="A227" s="11">
        <v>45852</v>
      </c>
      <c r="B227" s="3" t="str">
        <f t="shared" si="31"/>
        <v>segunda-feira</v>
      </c>
      <c r="C227" s="13">
        <v>38438.199999999997</v>
      </c>
      <c r="D227" s="16">
        <v>1514</v>
      </c>
      <c r="E227" s="4">
        <f t="shared" si="32"/>
        <v>25.388507265521795</v>
      </c>
      <c r="F227" s="3">
        <f t="shared" si="33"/>
        <v>7</v>
      </c>
      <c r="G227" s="3">
        <f t="shared" si="34"/>
        <v>2025</v>
      </c>
      <c r="H227" s="6" t="str">
        <f>IF(A227&lt;&gt;" ",G227&amp;"-"&amp;F227&amp;"-"&amp;COUNTIFS($G$2:G227,G227,$F$2:F227,F227)," ")</f>
        <v>2025-7-14</v>
      </c>
    </row>
    <row r="228" spans="1:8" x14ac:dyDescent="0.25">
      <c r="A228" s="11">
        <v>45853</v>
      </c>
      <c r="B228" s="3" t="str">
        <f t="shared" si="31"/>
        <v>terça-feira</v>
      </c>
      <c r="C228" s="13">
        <v>58780.34</v>
      </c>
      <c r="D228" s="16">
        <v>2010</v>
      </c>
      <c r="E228" s="4">
        <f t="shared" si="32"/>
        <v>29.243950248756217</v>
      </c>
      <c r="F228" s="3">
        <f t="shared" si="33"/>
        <v>7</v>
      </c>
      <c r="G228" s="3">
        <f t="shared" si="34"/>
        <v>2025</v>
      </c>
      <c r="H228" s="6" t="str">
        <f>IF(A228&lt;&gt;" ",G228&amp;"-"&amp;F228&amp;"-"&amp;COUNTIFS($G$2:G228,G228,$F$2:F228,F228)," ")</f>
        <v>2025-7-15</v>
      </c>
    </row>
    <row r="229" spans="1:8" x14ac:dyDescent="0.25">
      <c r="A229" s="11">
        <v>45854</v>
      </c>
      <c r="B229" s="3" t="str">
        <f t="shared" si="31"/>
        <v>quarta-feira</v>
      </c>
      <c r="C229" s="13">
        <v>52426.42</v>
      </c>
      <c r="D229" s="16">
        <v>1782</v>
      </c>
      <c r="E229" s="4">
        <f t="shared" si="32"/>
        <v>29.419988776655444</v>
      </c>
      <c r="F229" s="3">
        <f t="shared" si="33"/>
        <v>7</v>
      </c>
      <c r="G229" s="3">
        <f t="shared" si="34"/>
        <v>2025</v>
      </c>
      <c r="H229" s="6" t="str">
        <f>IF(A229&lt;&gt;" ",G229&amp;"-"&amp;F229&amp;"-"&amp;COUNTIFS($G$2:G229,G229,$F$2:F229,F229)," ")</f>
        <v>2025-7-16</v>
      </c>
    </row>
    <row r="230" spans="1:8" x14ac:dyDescent="0.25">
      <c r="A230" s="11">
        <v>45855</v>
      </c>
      <c r="B230" s="3" t="str">
        <f t="shared" si="31"/>
        <v>quinta-feira</v>
      </c>
      <c r="C230" s="13">
        <v>49886.95</v>
      </c>
      <c r="D230" s="16">
        <v>1734</v>
      </c>
      <c r="E230" s="4">
        <f t="shared" si="32"/>
        <v>28.769867358708186</v>
      </c>
      <c r="F230" s="3">
        <f t="shared" si="33"/>
        <v>7</v>
      </c>
      <c r="G230" s="3">
        <f t="shared" si="34"/>
        <v>2025</v>
      </c>
      <c r="H230" s="6" t="str">
        <f>IF(A230&lt;&gt;" ",G230&amp;"-"&amp;F230&amp;"-"&amp;COUNTIFS($G$2:G230,G230,$F$2:F230,F230)," ")</f>
        <v>2025-7-17</v>
      </c>
    </row>
    <row r="231" spans="1:8" x14ac:dyDescent="0.25">
      <c r="A231" s="11">
        <v>45856</v>
      </c>
      <c r="B231" s="3" t="str">
        <f t="shared" si="31"/>
        <v>sexta-feira</v>
      </c>
      <c r="C231" s="13">
        <v>66454.559999999998</v>
      </c>
      <c r="D231" s="16">
        <v>1993</v>
      </c>
      <c r="E231" s="4">
        <f t="shared" si="32"/>
        <v>33.343983943803309</v>
      </c>
      <c r="F231" s="3">
        <f t="shared" si="33"/>
        <v>7</v>
      </c>
      <c r="G231" s="3">
        <f t="shared" si="34"/>
        <v>2025</v>
      </c>
      <c r="H231" s="6" t="str">
        <f>IF(A231&lt;&gt;" ",G231&amp;"-"&amp;F231&amp;"-"&amp;COUNTIFS($G$2:G231,G231,$F$2:F231,F231)," ")</f>
        <v>2025-7-18</v>
      </c>
    </row>
    <row r="232" spans="1:8" x14ac:dyDescent="0.25">
      <c r="A232" s="11">
        <v>45857</v>
      </c>
      <c r="B232" s="3" t="str">
        <f t="shared" si="31"/>
        <v>sábado</v>
      </c>
      <c r="C232" s="13">
        <v>57276.42</v>
      </c>
      <c r="D232" s="16">
        <v>1786</v>
      </c>
      <c r="E232" s="4">
        <f t="shared" si="32"/>
        <v>32.069664053751396</v>
      </c>
      <c r="F232" s="3">
        <f t="shared" si="33"/>
        <v>7</v>
      </c>
      <c r="G232" s="3">
        <f t="shared" si="34"/>
        <v>2025</v>
      </c>
      <c r="H232" s="6" t="str">
        <f>IF(A232&lt;&gt;" ",G232&amp;"-"&amp;F232&amp;"-"&amp;COUNTIFS($G$2:G232,G232,$F$2:F232,F232)," ")</f>
        <v>2025-7-19</v>
      </c>
    </row>
    <row r="233" spans="1:8" x14ac:dyDescent="0.25">
      <c r="A233" s="11">
        <v>45858</v>
      </c>
      <c r="B233" s="3" t="str">
        <f t="shared" si="31"/>
        <v>domingo</v>
      </c>
      <c r="C233" s="13">
        <v>17006.21</v>
      </c>
      <c r="D233" s="16">
        <v>759</v>
      </c>
      <c r="E233" s="4">
        <f t="shared" si="32"/>
        <v>22.406073781291173</v>
      </c>
      <c r="F233" s="3">
        <f t="shared" si="33"/>
        <v>7</v>
      </c>
      <c r="G233" s="3">
        <f t="shared" si="34"/>
        <v>2025</v>
      </c>
      <c r="H233" s="6" t="str">
        <f>IF(A233&lt;&gt;" ",G233&amp;"-"&amp;F233&amp;"-"&amp;COUNTIFS($G$2:G233,G233,$F$2:F233,F233)," ")</f>
        <v>2025-7-20</v>
      </c>
    </row>
    <row r="234" spans="1:8" x14ac:dyDescent="0.25">
      <c r="A234" s="11">
        <v>45859</v>
      </c>
      <c r="B234" s="3" t="str">
        <f t="shared" si="31"/>
        <v>segunda-feira</v>
      </c>
      <c r="C234" s="13">
        <v>41718.82</v>
      </c>
      <c r="D234" s="16">
        <v>1610</v>
      </c>
      <c r="E234" s="4">
        <f t="shared" si="32"/>
        <v>25.912310559006212</v>
      </c>
      <c r="F234" s="3">
        <f t="shared" si="33"/>
        <v>7</v>
      </c>
      <c r="G234" s="3">
        <f t="shared" si="34"/>
        <v>2025</v>
      </c>
      <c r="H234" s="6" t="str">
        <f>IF(A234&lt;&gt;" ",G234&amp;"-"&amp;F234&amp;"-"&amp;COUNTIFS($G$2:G234,G234,$F$2:F234,F234)," ")</f>
        <v>2025-7-21</v>
      </c>
    </row>
    <row r="235" spans="1:8" x14ac:dyDescent="0.25">
      <c r="A235" s="11">
        <v>45860</v>
      </c>
      <c r="B235" s="3" t="str">
        <f t="shared" si="31"/>
        <v>terça-feira</v>
      </c>
      <c r="C235" s="13">
        <v>44655.63</v>
      </c>
      <c r="D235" s="16">
        <v>1687</v>
      </c>
      <c r="E235" s="4">
        <f t="shared" si="32"/>
        <v>26.47043864848844</v>
      </c>
      <c r="F235" s="3">
        <f t="shared" si="33"/>
        <v>7</v>
      </c>
      <c r="G235" s="3">
        <f t="shared" si="34"/>
        <v>2025</v>
      </c>
      <c r="H235" s="6" t="str">
        <f>IF(A235&lt;&gt;" ",G235&amp;"-"&amp;F235&amp;"-"&amp;COUNTIFS($G$2:G235,G235,$F$2:F235,F235)," ")</f>
        <v>2025-7-22</v>
      </c>
    </row>
    <row r="236" spans="1:8" x14ac:dyDescent="0.25">
      <c r="A236" s="11">
        <v>45861</v>
      </c>
      <c r="B236" s="3" t="str">
        <f t="shared" si="31"/>
        <v>quarta-feira</v>
      </c>
      <c r="C236" s="13">
        <v>46968.37</v>
      </c>
      <c r="D236" s="16">
        <v>1676</v>
      </c>
      <c r="E236" s="4">
        <f t="shared" si="32"/>
        <v>28.024087112171838</v>
      </c>
      <c r="F236" s="3">
        <f t="shared" si="33"/>
        <v>7</v>
      </c>
      <c r="G236" s="3">
        <f t="shared" si="34"/>
        <v>2025</v>
      </c>
      <c r="H236" s="6" t="str">
        <f>IF(A236&lt;&gt;" ",G236&amp;"-"&amp;F236&amp;"-"&amp;COUNTIFS($G$2:G236,G236,$F$2:F236,F236)," ")</f>
        <v>2025-7-23</v>
      </c>
    </row>
    <row r="237" spans="1:8" x14ac:dyDescent="0.25">
      <c r="A237" s="11">
        <v>45862</v>
      </c>
      <c r="B237" s="3" t="str">
        <f t="shared" si="31"/>
        <v>quinta-feira</v>
      </c>
      <c r="C237" s="13">
        <v>58452.52</v>
      </c>
      <c r="D237" s="16">
        <v>1944</v>
      </c>
      <c r="E237" s="4">
        <f t="shared" si="32"/>
        <v>30.068168724279833</v>
      </c>
      <c r="F237" s="3">
        <f t="shared" si="33"/>
        <v>7</v>
      </c>
      <c r="G237" s="3">
        <f t="shared" si="34"/>
        <v>2025</v>
      </c>
      <c r="H237" s="6" t="str">
        <f>IF(A237&lt;&gt;" ",G237&amp;"-"&amp;F237&amp;"-"&amp;COUNTIFS($G$2:G237,G237,$F$2:F237,F237)," ")</f>
        <v>2025-7-24</v>
      </c>
    </row>
    <row r="238" spans="1:8" x14ac:dyDescent="0.25">
      <c r="A238" s="11">
        <v>45863</v>
      </c>
      <c r="B238" s="3" t="str">
        <f t="shared" si="31"/>
        <v>sexta-feira</v>
      </c>
      <c r="C238" s="13">
        <v>50803.43</v>
      </c>
      <c r="D238" s="16">
        <v>1864</v>
      </c>
      <c r="E238" s="4">
        <f t="shared" si="32"/>
        <v>27.255059012875538</v>
      </c>
      <c r="F238" s="3">
        <f t="shared" si="33"/>
        <v>7</v>
      </c>
      <c r="G238" s="3">
        <f t="shared" si="34"/>
        <v>2025</v>
      </c>
      <c r="H238" s="6" t="str">
        <f>IF(A238&lt;&gt;" ",G238&amp;"-"&amp;F238&amp;"-"&amp;COUNTIFS($G$2:G238,G238,$F$2:F238,F238)," ")</f>
        <v>2025-7-25</v>
      </c>
    </row>
    <row r="239" spans="1:8" x14ac:dyDescent="0.25">
      <c r="A239" s="11">
        <v>45864</v>
      </c>
      <c r="B239" s="3" t="str">
        <f t="shared" si="31"/>
        <v>sábado</v>
      </c>
      <c r="C239" s="13">
        <v>53106.63</v>
      </c>
      <c r="D239" s="16">
        <v>1750</v>
      </c>
      <c r="E239" s="4">
        <f t="shared" si="32"/>
        <v>30.346645714285714</v>
      </c>
      <c r="F239" s="3">
        <f t="shared" si="33"/>
        <v>7</v>
      </c>
      <c r="G239" s="3">
        <f t="shared" si="34"/>
        <v>2025</v>
      </c>
      <c r="H239" s="6" t="str">
        <f>IF(A239&lt;&gt;" ",G239&amp;"-"&amp;F239&amp;"-"&amp;COUNTIFS($G$2:G239,G239,$F$2:F239,F239)," ")</f>
        <v>2025-7-26</v>
      </c>
    </row>
    <row r="240" spans="1:8" x14ac:dyDescent="0.25">
      <c r="A240" s="11">
        <v>45865</v>
      </c>
      <c r="B240" s="3" t="str">
        <f t="shared" si="31"/>
        <v>domingo</v>
      </c>
      <c r="C240" s="13">
        <v>18807.2</v>
      </c>
      <c r="D240" s="16">
        <v>771</v>
      </c>
      <c r="E240" s="4">
        <f t="shared" si="32"/>
        <v>24.393255512321662</v>
      </c>
      <c r="F240" s="3">
        <f t="shared" si="33"/>
        <v>7</v>
      </c>
      <c r="G240" s="3">
        <f t="shared" si="34"/>
        <v>2025</v>
      </c>
      <c r="H240" s="6" t="str">
        <f>IF(A240&lt;&gt;" ",G240&amp;"-"&amp;F240&amp;"-"&amp;COUNTIFS($G$2:G240,G240,$F$2:F240,F240)," ")</f>
        <v>2025-7-27</v>
      </c>
    </row>
    <row r="241" spans="1:8" x14ac:dyDescent="0.25">
      <c r="A241" s="11">
        <v>45866</v>
      </c>
      <c r="B241" s="3" t="str">
        <f t="shared" si="31"/>
        <v>segunda-feira</v>
      </c>
      <c r="C241" s="13">
        <v>40503.050000000003</v>
      </c>
      <c r="D241" s="16">
        <v>1581</v>
      </c>
      <c r="E241" s="4">
        <f t="shared" si="32"/>
        <v>25.618627450980394</v>
      </c>
      <c r="F241" s="3">
        <f t="shared" si="33"/>
        <v>7</v>
      </c>
      <c r="G241" s="3">
        <f t="shared" si="34"/>
        <v>2025</v>
      </c>
      <c r="H241" s="6" t="str">
        <f>IF(A241&lt;&gt;" ",G241&amp;"-"&amp;F241&amp;"-"&amp;COUNTIFS($G$2:G241,G241,$F$2:F241,F241)," ")</f>
        <v>2025-7-28</v>
      </c>
    </row>
    <row r="242" spans="1:8" x14ac:dyDescent="0.25">
      <c r="A242" s="11">
        <v>45867</v>
      </c>
      <c r="B242" s="3" t="str">
        <f t="shared" si="31"/>
        <v>terça-feira</v>
      </c>
      <c r="C242" s="13">
        <v>43582.93</v>
      </c>
      <c r="D242" s="16">
        <v>1638</v>
      </c>
      <c r="E242" s="4">
        <f t="shared" si="32"/>
        <v>26.607405372405374</v>
      </c>
      <c r="F242" s="3">
        <f t="shared" si="33"/>
        <v>7</v>
      </c>
      <c r="G242" s="3">
        <f t="shared" si="34"/>
        <v>2025</v>
      </c>
      <c r="H242" s="6" t="str">
        <f>IF(A242&lt;&gt;" ",G242&amp;"-"&amp;F242&amp;"-"&amp;COUNTIFS($G$2:G242,G242,$F$2:F242,F242)," ")</f>
        <v>2025-7-29</v>
      </c>
    </row>
    <row r="243" spans="1:8" x14ac:dyDescent="0.25">
      <c r="A243" s="11">
        <v>45868</v>
      </c>
      <c r="B243" s="3" t="str">
        <f t="shared" si="31"/>
        <v>quarta-feira</v>
      </c>
      <c r="C243" s="13">
        <v>46457.55</v>
      </c>
      <c r="D243" s="16">
        <v>1743</v>
      </c>
      <c r="E243" s="4">
        <f t="shared" si="32"/>
        <v>26.653786574870914</v>
      </c>
      <c r="F243" s="3">
        <f t="shared" si="33"/>
        <v>7</v>
      </c>
      <c r="G243" s="3">
        <f t="shared" si="34"/>
        <v>2025</v>
      </c>
      <c r="H243" s="6" t="str">
        <f>IF(A243&lt;&gt;" ",G243&amp;"-"&amp;F243&amp;"-"&amp;COUNTIFS($G$2:G243,G243,$F$2:F243,F243)," ")</f>
        <v>2025-7-30</v>
      </c>
    </row>
    <row r="244" spans="1:8" x14ac:dyDescent="0.25">
      <c r="A244" s="11">
        <v>45869</v>
      </c>
      <c r="B244" s="3" t="str">
        <f t="shared" si="31"/>
        <v>quinta-feira</v>
      </c>
      <c r="C244" s="13">
        <v>58513.68</v>
      </c>
      <c r="D244" s="16">
        <v>1952</v>
      </c>
      <c r="E244" s="4">
        <f t="shared" si="32"/>
        <v>29.97627049180328</v>
      </c>
      <c r="F244" s="3">
        <f t="shared" si="33"/>
        <v>7</v>
      </c>
      <c r="G244" s="3">
        <f t="shared" si="34"/>
        <v>2025</v>
      </c>
      <c r="H244" s="6" t="str">
        <f>IF(A244&lt;&gt;" ",G244&amp;"-"&amp;F244&amp;"-"&amp;COUNTIFS($G$2:G244,G244,$F$2:F244,F244)," ")</f>
        <v>2025-7-31</v>
      </c>
    </row>
    <row r="245" spans="1:8" x14ac:dyDescent="0.25">
      <c r="A245" s="11">
        <v>45870</v>
      </c>
      <c r="B245" s="3" t="str">
        <f t="shared" si="31"/>
        <v>sexta-feira</v>
      </c>
      <c r="C245" s="13">
        <v>59222.21</v>
      </c>
      <c r="D245" s="16">
        <v>2029</v>
      </c>
      <c r="E245" s="4">
        <f t="shared" si="32"/>
        <v>29.187880729423362</v>
      </c>
      <c r="F245" s="3">
        <f t="shared" si="33"/>
        <v>8</v>
      </c>
      <c r="G245" s="3">
        <f t="shared" si="34"/>
        <v>2025</v>
      </c>
      <c r="H245" s="6" t="str">
        <f>IF(A245&lt;&gt;" ",G245&amp;"-"&amp;F245&amp;"-"&amp;COUNTIFS($G$2:G245,G245,$F$2:F245,F245)," ")</f>
        <v>2025-8-1</v>
      </c>
    </row>
    <row r="246" spans="1:8" x14ac:dyDescent="0.25">
      <c r="A246" s="11">
        <v>45871</v>
      </c>
      <c r="B246" s="3" t="str">
        <f t="shared" si="31"/>
        <v>sábado</v>
      </c>
      <c r="C246" s="13">
        <v>52499.29</v>
      </c>
      <c r="D246" s="16">
        <v>1755</v>
      </c>
      <c r="E246" s="4">
        <f t="shared" si="32"/>
        <v>29.914125356125357</v>
      </c>
      <c r="F246" s="3">
        <f t="shared" si="33"/>
        <v>8</v>
      </c>
      <c r="G246" s="3">
        <f t="shared" si="34"/>
        <v>2025</v>
      </c>
      <c r="H246" s="6" t="str">
        <f>IF(A246&lt;&gt;" ",G246&amp;"-"&amp;F246&amp;"-"&amp;COUNTIFS($G$2:G246,G246,$F$2:F246,F246)," ")</f>
        <v>2025-8-2</v>
      </c>
    </row>
    <row r="247" spans="1:8" x14ac:dyDescent="0.25">
      <c r="A247" s="11">
        <v>45872</v>
      </c>
      <c r="B247" s="3" t="str">
        <f t="shared" si="31"/>
        <v>domingo</v>
      </c>
      <c r="C247" s="13">
        <v>24274.63</v>
      </c>
      <c r="D247" s="16">
        <v>975</v>
      </c>
      <c r="E247" s="4">
        <f t="shared" si="32"/>
        <v>24.897056410256411</v>
      </c>
      <c r="F247" s="3">
        <f t="shared" si="33"/>
        <v>8</v>
      </c>
      <c r="G247" s="3">
        <f t="shared" si="34"/>
        <v>2025</v>
      </c>
      <c r="H247" s="6" t="str">
        <f>IF(A247&lt;&gt;" ",G247&amp;"-"&amp;F247&amp;"-"&amp;COUNTIFS($G$2:G247,G247,$F$2:F247,F247)," ")</f>
        <v>2025-8-3</v>
      </c>
    </row>
    <row r="248" spans="1:8" x14ac:dyDescent="0.25">
      <c r="A248" s="11">
        <v>45873</v>
      </c>
      <c r="B248" s="3" t="str">
        <f t="shared" si="31"/>
        <v>segunda-feira</v>
      </c>
      <c r="C248" s="13">
        <v>55823.42</v>
      </c>
      <c r="D248" s="16">
        <v>1975</v>
      </c>
      <c r="E248" s="4">
        <f t="shared" si="32"/>
        <v>28.265022784810125</v>
      </c>
      <c r="F248" s="3">
        <f t="shared" si="33"/>
        <v>8</v>
      </c>
      <c r="G248" s="3">
        <f t="shared" si="34"/>
        <v>2025</v>
      </c>
      <c r="H248" s="6" t="str">
        <f>IF(A248&lt;&gt;" ",G248&amp;"-"&amp;F248&amp;"-"&amp;COUNTIFS($G$2:G248,G248,$F$2:F248,F248)," ")</f>
        <v>2025-8-4</v>
      </c>
    </row>
    <row r="249" spans="1:8" x14ac:dyDescent="0.25">
      <c r="A249" s="11">
        <v>45874</v>
      </c>
      <c r="B249" s="3" t="str">
        <f t="shared" si="31"/>
        <v>terça-feira</v>
      </c>
      <c r="C249" s="13">
        <v>67596.460000000006</v>
      </c>
      <c r="D249" s="16">
        <v>2282</v>
      </c>
      <c r="E249" s="4">
        <f t="shared" si="32"/>
        <v>29.621586327782648</v>
      </c>
      <c r="F249" s="3">
        <f t="shared" si="33"/>
        <v>8</v>
      </c>
      <c r="G249" s="3">
        <f t="shared" si="34"/>
        <v>2025</v>
      </c>
      <c r="H249" s="6" t="str">
        <f>IF(A249&lt;&gt;" ",G249&amp;"-"&amp;F249&amp;"-"&amp;COUNTIFS($G$2:G249,G249,$F$2:F249,F249)," ")</f>
        <v>2025-8-5</v>
      </c>
    </row>
    <row r="250" spans="1:8" x14ac:dyDescent="0.25">
      <c r="A250" s="11">
        <v>45875</v>
      </c>
      <c r="B250" s="3" t="str">
        <f t="shared" si="31"/>
        <v>quarta-feira</v>
      </c>
      <c r="C250" s="13">
        <v>69690.570000000007</v>
      </c>
      <c r="D250" s="16">
        <v>2233</v>
      </c>
      <c r="E250" s="4">
        <f t="shared" si="32"/>
        <v>31.209390953873715</v>
      </c>
      <c r="F250" s="3">
        <f t="shared" si="33"/>
        <v>8</v>
      </c>
      <c r="G250" s="3">
        <f t="shared" si="34"/>
        <v>2025</v>
      </c>
      <c r="H250" s="6" t="str">
        <f>IF(A250&lt;&gt;" ",G250&amp;"-"&amp;F250&amp;"-"&amp;COUNTIFS($G$2:G250,G250,$F$2:F250,F250)," ")</f>
        <v>2025-8-6</v>
      </c>
    </row>
    <row r="251" spans="1:8" x14ac:dyDescent="0.25">
      <c r="A251" s="11">
        <v>45876</v>
      </c>
      <c r="B251" s="3" t="str">
        <f t="shared" si="31"/>
        <v>quinta-feira</v>
      </c>
      <c r="C251" s="13">
        <v>69890.53</v>
      </c>
      <c r="D251" s="16">
        <v>2320</v>
      </c>
      <c r="E251" s="4">
        <f t="shared" si="32"/>
        <v>30.125228448275863</v>
      </c>
      <c r="F251" s="3">
        <f t="shared" si="33"/>
        <v>8</v>
      </c>
      <c r="G251" s="3">
        <f t="shared" si="34"/>
        <v>2025</v>
      </c>
      <c r="H251" s="6" t="str">
        <f>IF(A251&lt;&gt;" ",G251&amp;"-"&amp;F251&amp;"-"&amp;COUNTIFS($G$2:G251,G251,$F$2:F251,F251)," ")</f>
        <v>2025-8-7</v>
      </c>
    </row>
    <row r="252" spans="1:8" x14ac:dyDescent="0.25">
      <c r="A252" s="11">
        <v>45877</v>
      </c>
      <c r="B252" s="3" t="str">
        <f t="shared" si="31"/>
        <v>sexta-feira</v>
      </c>
      <c r="C252" s="13">
        <v>73857.490000000005</v>
      </c>
      <c r="D252" s="16">
        <v>2367</v>
      </c>
      <c r="E252" s="4">
        <f t="shared" si="32"/>
        <v>31.202995352767218</v>
      </c>
      <c r="F252" s="3">
        <f t="shared" si="33"/>
        <v>8</v>
      </c>
      <c r="G252" s="3">
        <f t="shared" si="34"/>
        <v>2025</v>
      </c>
      <c r="H252" s="6" t="str">
        <f>IF(A252&lt;&gt;" ",G252&amp;"-"&amp;F252&amp;"-"&amp;COUNTIFS($G$2:G252,G252,$F$2:F252,F252)," ")</f>
        <v>2025-8-8</v>
      </c>
    </row>
    <row r="253" spans="1:8" x14ac:dyDescent="0.25">
      <c r="A253" s="11">
        <v>45878</v>
      </c>
      <c r="B253" s="3" t="str">
        <f t="shared" si="31"/>
        <v>sábado</v>
      </c>
      <c r="C253" s="13">
        <v>80667.289999999994</v>
      </c>
      <c r="D253" s="16">
        <v>2231</v>
      </c>
      <c r="E253" s="4">
        <f t="shared" si="32"/>
        <v>36.157458538771849</v>
      </c>
      <c r="F253" s="3">
        <f t="shared" si="33"/>
        <v>8</v>
      </c>
      <c r="G253" s="3">
        <f t="shared" si="34"/>
        <v>2025</v>
      </c>
      <c r="H253" s="6" t="str">
        <f>IF(A253&lt;&gt;" ",G253&amp;"-"&amp;F253&amp;"-"&amp;COUNTIFS($G$2:G253,G253,$F$2:F253,F253)," ")</f>
        <v>2025-8-9</v>
      </c>
    </row>
    <row r="254" spans="1:8" x14ac:dyDescent="0.25">
      <c r="A254" s="11">
        <v>45879</v>
      </c>
      <c r="B254" s="3" t="str">
        <f t="shared" si="31"/>
        <v>domingo</v>
      </c>
      <c r="C254" s="13">
        <v>25218.22</v>
      </c>
      <c r="D254" s="16">
        <v>958</v>
      </c>
      <c r="E254" s="4">
        <f t="shared" si="32"/>
        <v>26.323820459290189</v>
      </c>
      <c r="F254" s="3">
        <f t="shared" si="33"/>
        <v>8</v>
      </c>
      <c r="G254" s="3">
        <f t="shared" si="34"/>
        <v>2025</v>
      </c>
      <c r="H254" s="6" t="str">
        <f>IF(A254&lt;&gt;" ",G254&amp;"-"&amp;F254&amp;"-"&amp;COUNTIFS($G$2:G254,G254,$F$2:F254,F254)," ")</f>
        <v>2025-8-10</v>
      </c>
    </row>
    <row r="255" spans="1:8" x14ac:dyDescent="0.25">
      <c r="A255" s="11">
        <v>45880</v>
      </c>
      <c r="B255" s="3" t="str">
        <f t="shared" si="31"/>
        <v>segunda-feira</v>
      </c>
      <c r="C255" s="13">
        <v>47045.48</v>
      </c>
      <c r="D255" s="16">
        <v>1792</v>
      </c>
      <c r="E255" s="4">
        <f t="shared" si="32"/>
        <v>26.253058035714286</v>
      </c>
      <c r="F255" s="3">
        <f t="shared" si="33"/>
        <v>8</v>
      </c>
      <c r="G255" s="3">
        <f t="shared" si="34"/>
        <v>2025</v>
      </c>
      <c r="H255" s="6" t="str">
        <f>IF(A255&lt;&gt;" ",G255&amp;"-"&amp;F255&amp;"-"&amp;COUNTIFS($G$2:G255,G255,$F$2:F255,F255)," ")</f>
        <v>2025-8-11</v>
      </c>
    </row>
    <row r="256" spans="1:8" x14ac:dyDescent="0.25">
      <c r="A256" s="11">
        <v>45881</v>
      </c>
      <c r="B256" s="3" t="str">
        <f t="shared" si="31"/>
        <v>terça-feira</v>
      </c>
      <c r="C256" s="13">
        <v>64329.65</v>
      </c>
      <c r="D256" s="16">
        <v>2196</v>
      </c>
      <c r="E256" s="4">
        <f t="shared" si="32"/>
        <v>29.294011839708563</v>
      </c>
      <c r="F256" s="3">
        <f t="shared" si="33"/>
        <v>8</v>
      </c>
      <c r="G256" s="3">
        <f t="shared" si="34"/>
        <v>2025</v>
      </c>
      <c r="H256" s="6" t="str">
        <f>IF(A256&lt;&gt;" ",G256&amp;"-"&amp;F256&amp;"-"&amp;COUNTIFS($G$2:G256,G256,$F$2:F256,F256)," ")</f>
        <v>2025-8-12</v>
      </c>
    </row>
    <row r="257" spans="1:8" x14ac:dyDescent="0.25">
      <c r="A257" s="11">
        <v>45882</v>
      </c>
      <c r="B257" s="3" t="str">
        <f t="shared" si="31"/>
        <v>quarta-feira</v>
      </c>
      <c r="C257" s="13">
        <v>62160.68</v>
      </c>
      <c r="D257" s="16">
        <v>2245</v>
      </c>
      <c r="E257" s="4">
        <f t="shared" si="32"/>
        <v>27.688498886414255</v>
      </c>
      <c r="F257" s="3">
        <f t="shared" si="33"/>
        <v>8</v>
      </c>
      <c r="G257" s="3">
        <f t="shared" si="34"/>
        <v>2025</v>
      </c>
      <c r="H257" s="6" t="str">
        <f>IF(A257&lt;&gt;" ",G257&amp;"-"&amp;F257&amp;"-"&amp;COUNTIFS($G$2:G257,G257,$F$2:F257,F257)," ")</f>
        <v>2025-8-13</v>
      </c>
    </row>
    <row r="258" spans="1:8" x14ac:dyDescent="0.25">
      <c r="A258" s="11">
        <v>45883</v>
      </c>
      <c r="B258" s="3" t="str">
        <f t="shared" si="31"/>
        <v>quinta-feira</v>
      </c>
      <c r="C258" s="13">
        <v>53922.66</v>
      </c>
      <c r="D258" s="16">
        <v>2053</v>
      </c>
      <c r="E258" s="4">
        <f t="shared" si="32"/>
        <v>26.265299561617148</v>
      </c>
      <c r="F258" s="3">
        <f t="shared" si="33"/>
        <v>8</v>
      </c>
      <c r="G258" s="3">
        <f t="shared" si="34"/>
        <v>2025</v>
      </c>
      <c r="H258" s="6" t="str">
        <f>IF(A258&lt;&gt;" ",G258&amp;"-"&amp;F258&amp;"-"&amp;COUNTIFS($G$2:G258,G258,$F$2:F258,F258)," ")</f>
        <v>2025-8-14</v>
      </c>
    </row>
    <row r="259" spans="1:8" x14ac:dyDescent="0.25">
      <c r="A259" s="11">
        <v>45884</v>
      </c>
      <c r="B259" s="3" t="str">
        <f t="shared" si="31"/>
        <v>sexta-feira</v>
      </c>
      <c r="C259" s="13">
        <v>62128.21</v>
      </c>
      <c r="D259" s="16">
        <v>2109</v>
      </c>
      <c r="E259" s="4">
        <f t="shared" si="32"/>
        <v>29.458610715979137</v>
      </c>
      <c r="F259" s="3">
        <f t="shared" si="33"/>
        <v>8</v>
      </c>
      <c r="G259" s="3">
        <f t="shared" si="34"/>
        <v>2025</v>
      </c>
      <c r="H259" s="6" t="str">
        <f>IF(A259&lt;&gt;" ",G259&amp;"-"&amp;F259&amp;"-"&amp;COUNTIFS($G$2:G259,G259,$F$2:F259,F259)," ")</f>
        <v>2025-8-15</v>
      </c>
    </row>
    <row r="260" spans="1:8" x14ac:dyDescent="0.25">
      <c r="A260" s="11">
        <v>45885</v>
      </c>
      <c r="B260" s="3" t="str">
        <f t="shared" si="31"/>
        <v>sábado</v>
      </c>
      <c r="C260" s="13">
        <v>57562.18</v>
      </c>
      <c r="D260" s="16">
        <v>1989</v>
      </c>
      <c r="E260" s="4">
        <f t="shared" si="32"/>
        <v>28.940261437908497</v>
      </c>
      <c r="F260" s="3">
        <f t="shared" si="33"/>
        <v>8</v>
      </c>
      <c r="G260" s="3">
        <f t="shared" si="34"/>
        <v>2025</v>
      </c>
      <c r="H260" s="6" t="str">
        <f>IF(A260&lt;&gt;" ",G260&amp;"-"&amp;F260&amp;"-"&amp;COUNTIFS($G$2:G260,G260,$F$2:F260,F260)," ")</f>
        <v>2025-8-16</v>
      </c>
    </row>
    <row r="261" spans="1:8" x14ac:dyDescent="0.25">
      <c r="A261" s="11">
        <v>45886</v>
      </c>
      <c r="B261" s="3" t="str">
        <f t="shared" si="31"/>
        <v>domingo</v>
      </c>
      <c r="C261" s="13">
        <v>18149.57</v>
      </c>
      <c r="D261" s="16">
        <v>801</v>
      </c>
      <c r="E261" s="4">
        <f t="shared" si="32"/>
        <v>22.658639200998753</v>
      </c>
      <c r="F261" s="3">
        <f t="shared" si="33"/>
        <v>8</v>
      </c>
      <c r="G261" s="3">
        <f t="shared" si="34"/>
        <v>2025</v>
      </c>
      <c r="H261" s="6" t="str">
        <f>IF(A261&lt;&gt;" ",G261&amp;"-"&amp;F261&amp;"-"&amp;COUNTIFS($G$2:G261,G261,$F$2:F261,F261)," ")</f>
        <v>2025-8-17</v>
      </c>
    </row>
    <row r="262" spans="1:8" x14ac:dyDescent="0.25">
      <c r="A262" s="11">
        <v>45887</v>
      </c>
      <c r="B262" s="3" t="str">
        <f t="shared" si="31"/>
        <v>segunda-feira</v>
      </c>
      <c r="C262" s="13">
        <v>52453.72</v>
      </c>
      <c r="D262" s="16">
        <v>1900</v>
      </c>
      <c r="E262" s="4">
        <f t="shared" si="32"/>
        <v>27.60722105263158</v>
      </c>
      <c r="F262" s="3">
        <f t="shared" si="33"/>
        <v>8</v>
      </c>
      <c r="G262" s="3">
        <f t="shared" si="34"/>
        <v>2025</v>
      </c>
      <c r="H262" s="6" t="str">
        <f>IF(A262&lt;&gt;" ",G262&amp;"-"&amp;F262&amp;"-"&amp;COUNTIFS($G$2:G262,G262,$F$2:F262,F262)," ")</f>
        <v>2025-8-18</v>
      </c>
    </row>
    <row r="263" spans="1:8" x14ac:dyDescent="0.25">
      <c r="A263" s="11">
        <v>45888</v>
      </c>
      <c r="B263" s="3" t="str">
        <f t="shared" si="31"/>
        <v>terça-feira</v>
      </c>
      <c r="C263" s="13">
        <v>53927.69</v>
      </c>
      <c r="D263" s="16">
        <v>1969</v>
      </c>
      <c r="E263" s="4">
        <f t="shared" si="32"/>
        <v>27.388364652107668</v>
      </c>
      <c r="F263" s="3">
        <f t="shared" si="33"/>
        <v>8</v>
      </c>
      <c r="G263" s="3">
        <f t="shared" si="34"/>
        <v>2025</v>
      </c>
      <c r="H263" s="6" t="str">
        <f>IF(A263&lt;&gt;" ",G263&amp;"-"&amp;F263&amp;"-"&amp;COUNTIFS($G$2:G263,G263,$F$2:F263,F263)," ")</f>
        <v>2025-8-19</v>
      </c>
    </row>
    <row r="264" spans="1:8" x14ac:dyDescent="0.25">
      <c r="A264" s="11">
        <v>45889</v>
      </c>
      <c r="B264" s="3" t="str">
        <f t="shared" si="31"/>
        <v>quarta-feira</v>
      </c>
      <c r="C264" s="13">
        <v>49304.54</v>
      </c>
      <c r="D264" s="16">
        <v>1944</v>
      </c>
      <c r="E264" s="4">
        <f t="shared" si="32"/>
        <v>25.362417695473251</v>
      </c>
      <c r="F264" s="3">
        <f t="shared" si="33"/>
        <v>8</v>
      </c>
      <c r="G264" s="3">
        <f t="shared" si="34"/>
        <v>2025</v>
      </c>
      <c r="H264" s="6" t="str">
        <f>IF(A264&lt;&gt;" ",G264&amp;"-"&amp;F264&amp;"-"&amp;COUNTIFS($G$2:G264,G264,$F$2:F264,F264)," ")</f>
        <v>2025-8-20</v>
      </c>
    </row>
    <row r="265" spans="1:8" x14ac:dyDescent="0.25">
      <c r="A265" s="11">
        <v>45890</v>
      </c>
      <c r="B265" s="3" t="str">
        <f t="shared" si="31"/>
        <v>quinta-feira</v>
      </c>
      <c r="C265" s="13">
        <v>38957.440000000002</v>
      </c>
      <c r="D265" s="16">
        <v>1751</v>
      </c>
      <c r="E265" s="4">
        <f t="shared" si="32"/>
        <v>22.248680753854941</v>
      </c>
      <c r="F265" s="3">
        <f t="shared" si="33"/>
        <v>8</v>
      </c>
      <c r="G265" s="3">
        <f t="shared" si="34"/>
        <v>2025</v>
      </c>
      <c r="H265" s="6" t="str">
        <f>IF(A265&lt;&gt;" ",G265&amp;"-"&amp;F265&amp;"-"&amp;COUNTIFS($G$2:G265,G265,$F$2:F265,F265)," ")</f>
        <v>2025-8-21</v>
      </c>
    </row>
    <row r="266" spans="1:8" x14ac:dyDescent="0.25">
      <c r="A266" s="11">
        <v>45891</v>
      </c>
      <c r="B266" s="3" t="str">
        <f t="shared" si="31"/>
        <v>sexta-feira</v>
      </c>
      <c r="C266" s="13">
        <v>53505.54</v>
      </c>
      <c r="D266" s="16">
        <v>2017</v>
      </c>
      <c r="E266" s="4">
        <f t="shared" si="32"/>
        <v>26.527288051561726</v>
      </c>
      <c r="F266" s="3">
        <f t="shared" si="33"/>
        <v>8</v>
      </c>
      <c r="G266" s="3">
        <f t="shared" si="34"/>
        <v>2025</v>
      </c>
      <c r="H266" s="6" t="str">
        <f>IF(A266&lt;&gt;" ",G266&amp;"-"&amp;F266&amp;"-"&amp;COUNTIFS($G$2:G266,G266,$F$2:F266,F266)," ")</f>
        <v>2025-8-22</v>
      </c>
    </row>
    <row r="267" spans="1:8" x14ac:dyDescent="0.25">
      <c r="A267" s="11">
        <v>45892</v>
      </c>
      <c r="B267" s="3" t="str">
        <f t="shared" si="31"/>
        <v>sábado</v>
      </c>
      <c r="C267" s="13">
        <v>47114.38</v>
      </c>
      <c r="D267" s="16">
        <v>1712</v>
      </c>
      <c r="E267" s="4">
        <f t="shared" si="32"/>
        <v>27.520081775700934</v>
      </c>
      <c r="F267" s="3">
        <f t="shared" si="33"/>
        <v>8</v>
      </c>
      <c r="G267" s="3">
        <f t="shared" si="34"/>
        <v>2025</v>
      </c>
      <c r="H267" s="6" t="str">
        <f>IF(A267&lt;&gt;" ",G267&amp;"-"&amp;F267&amp;"-"&amp;COUNTIFS($G$2:G267,G267,$F$2:F267,F267)," ")</f>
        <v>2025-8-23</v>
      </c>
    </row>
    <row r="268" spans="1:8" x14ac:dyDescent="0.25">
      <c r="A268" s="11">
        <v>45893</v>
      </c>
      <c r="B268" s="3" t="str">
        <f t="shared" si="31"/>
        <v>domingo</v>
      </c>
      <c r="C268" s="13">
        <v>16064.17</v>
      </c>
      <c r="D268" s="16">
        <v>770</v>
      </c>
      <c r="E268" s="4">
        <f t="shared" si="32"/>
        <v>20.862558441558441</v>
      </c>
      <c r="F268" s="3">
        <f t="shared" si="33"/>
        <v>8</v>
      </c>
      <c r="G268" s="3">
        <f t="shared" si="34"/>
        <v>2025</v>
      </c>
      <c r="H268" s="6" t="str">
        <f>IF(A268&lt;&gt;" ",G268&amp;"-"&amp;F268&amp;"-"&amp;COUNTIFS($G$2:G268,G268,$F$2:F268,F268)," ")</f>
        <v>2025-8-24</v>
      </c>
    </row>
    <row r="269" spans="1:8" x14ac:dyDescent="0.25">
      <c r="A269" s="11">
        <v>45894</v>
      </c>
      <c r="B269" s="3" t="str">
        <f t="shared" si="31"/>
        <v>segunda-feira</v>
      </c>
      <c r="C269" s="13">
        <v>37498.980000000003</v>
      </c>
      <c r="D269" s="16">
        <v>1662</v>
      </c>
      <c r="E269" s="4">
        <f t="shared" si="32"/>
        <v>22.56256317689531</v>
      </c>
      <c r="F269" s="3">
        <f t="shared" si="33"/>
        <v>8</v>
      </c>
      <c r="G269" s="3">
        <f t="shared" si="34"/>
        <v>2025</v>
      </c>
      <c r="H269" s="6" t="str">
        <f>IF(A269&lt;&gt;" ",G269&amp;"-"&amp;F269&amp;"-"&amp;COUNTIFS($G$2:G269,G269,$F$2:F269,F269)," ")</f>
        <v>2025-8-25</v>
      </c>
    </row>
    <row r="270" spans="1:8" x14ac:dyDescent="0.25">
      <c r="A270" s="11">
        <v>45895</v>
      </c>
      <c r="B270" s="3" t="str">
        <f t="shared" si="31"/>
        <v>terça-feira</v>
      </c>
      <c r="C270" s="13">
        <v>41223.33</v>
      </c>
      <c r="D270" s="16">
        <v>1822</v>
      </c>
      <c r="E270" s="4">
        <f t="shared" si="32"/>
        <v>22.625318331503841</v>
      </c>
      <c r="F270" s="3">
        <f t="shared" si="33"/>
        <v>8</v>
      </c>
      <c r="G270" s="3">
        <f t="shared" si="34"/>
        <v>2025</v>
      </c>
      <c r="H270" s="6" t="str">
        <f>IF(A270&lt;&gt;" ",G270&amp;"-"&amp;F270&amp;"-"&amp;COUNTIFS($G$2:G270,G270,$F$2:F270,F270)," ")</f>
        <v>2025-8-26</v>
      </c>
    </row>
    <row r="271" spans="1:8" x14ac:dyDescent="0.25">
      <c r="A271" s="11">
        <v>45896</v>
      </c>
      <c r="B271" s="3" t="str">
        <f t="shared" si="31"/>
        <v>quarta-feira</v>
      </c>
      <c r="C271" s="13">
        <v>46461.19</v>
      </c>
      <c r="D271" s="16">
        <v>1954</v>
      </c>
      <c r="E271" s="4">
        <f t="shared" si="32"/>
        <v>23.777476970317299</v>
      </c>
      <c r="F271" s="3">
        <f t="shared" si="33"/>
        <v>8</v>
      </c>
      <c r="G271" s="3">
        <f t="shared" si="34"/>
        <v>2025</v>
      </c>
      <c r="H271" s="6" t="str">
        <f>IF(A271&lt;&gt;" ",G271&amp;"-"&amp;F271&amp;"-"&amp;COUNTIFS($G$2:G271,G271,$F$2:F271,F271)," ")</f>
        <v>2025-8-27</v>
      </c>
    </row>
    <row r="272" spans="1:8" x14ac:dyDescent="0.25">
      <c r="A272" s="11">
        <v>45897</v>
      </c>
      <c r="B272" s="3" t="str">
        <f t="shared" si="31"/>
        <v>quinta-feira</v>
      </c>
      <c r="C272" s="13">
        <v>45830.97</v>
      </c>
      <c r="D272" s="16">
        <v>1720</v>
      </c>
      <c r="E272" s="4">
        <f t="shared" si="32"/>
        <v>26.645912790697675</v>
      </c>
      <c r="F272" s="3">
        <f t="shared" si="33"/>
        <v>8</v>
      </c>
      <c r="G272" s="3">
        <f t="shared" si="34"/>
        <v>2025</v>
      </c>
      <c r="H272" s="6" t="str">
        <f>IF(A272&lt;&gt;" ",G272&amp;"-"&amp;F272&amp;"-"&amp;COUNTIFS($G$2:G272,G272,$F$2:F272,F272)," ")</f>
        <v>2025-8-28</v>
      </c>
    </row>
    <row r="273" spans="1:8" x14ac:dyDescent="0.25">
      <c r="A273" s="11">
        <v>45898</v>
      </c>
      <c r="B273" s="3" t="str">
        <f t="shared" si="31"/>
        <v>sexta-feira</v>
      </c>
      <c r="C273" s="13">
        <v>56517.17</v>
      </c>
      <c r="D273" s="16">
        <v>1972</v>
      </c>
      <c r="E273" s="4">
        <f t="shared" si="32"/>
        <v>28.65982251521298</v>
      </c>
      <c r="F273" s="3">
        <f t="shared" si="33"/>
        <v>8</v>
      </c>
      <c r="G273" s="3">
        <f t="shared" si="34"/>
        <v>2025</v>
      </c>
      <c r="H273" s="6" t="str">
        <f>IF(A273&lt;&gt;" ",G273&amp;"-"&amp;F273&amp;"-"&amp;COUNTIFS($G$2:G273,G273,$F$2:F273,F273)," ")</f>
        <v>2025-8-29</v>
      </c>
    </row>
    <row r="274" spans="1:8" x14ac:dyDescent="0.25">
      <c r="A274" s="11">
        <v>45899</v>
      </c>
      <c r="B274" s="3" t="str">
        <f t="shared" si="31"/>
        <v>sábado</v>
      </c>
      <c r="C274" s="13">
        <v>57225.32</v>
      </c>
      <c r="D274" s="16">
        <v>1935</v>
      </c>
      <c r="E274" s="4">
        <f t="shared" si="32"/>
        <v>29.573808785529717</v>
      </c>
      <c r="F274" s="3">
        <f t="shared" si="33"/>
        <v>8</v>
      </c>
      <c r="G274" s="3">
        <f t="shared" si="34"/>
        <v>2025</v>
      </c>
      <c r="H274" s="6" t="str">
        <f>IF(A274&lt;&gt;" ",G274&amp;"-"&amp;F274&amp;"-"&amp;COUNTIFS($G$2:G274,G274,$F$2:F274,F274)," ")</f>
        <v>2025-8-30</v>
      </c>
    </row>
    <row r="275" spans="1:8" x14ac:dyDescent="0.25">
      <c r="A275" s="11">
        <v>45900</v>
      </c>
      <c r="B275" s="3" t="str">
        <f t="shared" si="31"/>
        <v>domingo</v>
      </c>
      <c r="C275" s="13">
        <v>17361.55</v>
      </c>
      <c r="D275" s="16">
        <v>777</v>
      </c>
      <c r="E275" s="4">
        <f t="shared" si="32"/>
        <v>22.344337194337193</v>
      </c>
      <c r="F275" s="3">
        <f t="shared" si="33"/>
        <v>8</v>
      </c>
      <c r="G275" s="3">
        <f t="shared" si="34"/>
        <v>2025</v>
      </c>
      <c r="H275" s="6" t="str">
        <f>IF(A275&lt;&gt;" ",G275&amp;"-"&amp;F275&amp;"-"&amp;COUNTIFS($G$2:G275,G275,$F$2:F275,F275)," ")</f>
        <v>2025-8-31</v>
      </c>
    </row>
    <row r="276" spans="1:8" x14ac:dyDescent="0.25">
      <c r="A276" s="11">
        <v>45901</v>
      </c>
      <c r="B276" s="3" t="str">
        <f t="shared" si="31"/>
        <v>segunda-feira</v>
      </c>
      <c r="C276" s="13">
        <v>61946.85</v>
      </c>
      <c r="D276" s="16">
        <v>2044</v>
      </c>
      <c r="E276" s="4">
        <f t="shared" si="32"/>
        <v>30.30667808219178</v>
      </c>
      <c r="F276" s="3">
        <f t="shared" si="33"/>
        <v>9</v>
      </c>
      <c r="G276" s="3">
        <f t="shared" si="34"/>
        <v>2025</v>
      </c>
      <c r="H276" s="6" t="str">
        <f>IF(A276&lt;&gt;" ",G276&amp;"-"&amp;F276&amp;"-"&amp;COUNTIFS($G$2:G276,G276,$F$2:F276,F276)," ")</f>
        <v>2025-9-1</v>
      </c>
    </row>
    <row r="277" spans="1:8" x14ac:dyDescent="0.25">
      <c r="A277" s="11">
        <v>45902</v>
      </c>
      <c r="B277" s="3" t="str">
        <f t="shared" si="31"/>
        <v>terça-feira</v>
      </c>
      <c r="C277" s="13">
        <v>59652.52</v>
      </c>
      <c r="D277" s="16">
        <v>2180</v>
      </c>
      <c r="E277" s="4">
        <f t="shared" si="32"/>
        <v>27.363541284403667</v>
      </c>
      <c r="F277" s="3">
        <f t="shared" si="33"/>
        <v>9</v>
      </c>
      <c r="G277" s="3">
        <f t="shared" si="34"/>
        <v>2025</v>
      </c>
      <c r="H277" s="6" t="str">
        <f>IF(A277&lt;&gt;" ",G277&amp;"-"&amp;F277&amp;"-"&amp;COUNTIFS($G$2:G277,G277,$F$2:F277,F277)," ")</f>
        <v>2025-9-2</v>
      </c>
    </row>
    <row r="278" spans="1:8" x14ac:dyDescent="0.25">
      <c r="A278" s="11">
        <v>45903</v>
      </c>
      <c r="B278" s="3" t="str">
        <f t="shared" si="31"/>
        <v>quarta-feira</v>
      </c>
      <c r="C278" s="13">
        <v>61960.15</v>
      </c>
      <c r="D278" s="16">
        <v>2158</v>
      </c>
      <c r="E278" s="4">
        <f t="shared" si="32"/>
        <v>28.71183966635774</v>
      </c>
      <c r="F278" s="3">
        <f t="shared" si="33"/>
        <v>9</v>
      </c>
      <c r="G278" s="3">
        <f t="shared" si="34"/>
        <v>2025</v>
      </c>
      <c r="H278" s="6" t="str">
        <f>IF(A278&lt;&gt;" ",G278&amp;"-"&amp;F278&amp;"-"&amp;COUNTIFS($G$2:G278,G278,$F$2:F278,F278)," ")</f>
        <v>2025-9-3</v>
      </c>
    </row>
    <row r="279" spans="1:8" x14ac:dyDescent="0.25">
      <c r="A279" s="11">
        <v>45904</v>
      </c>
      <c r="B279" s="3" t="str">
        <f t="shared" si="31"/>
        <v>quinta-feira</v>
      </c>
      <c r="C279" s="13">
        <v>54100.72</v>
      </c>
      <c r="D279" s="16">
        <v>2140</v>
      </c>
      <c r="E279" s="4">
        <f t="shared" si="32"/>
        <v>25.280710280373832</v>
      </c>
      <c r="F279" s="3">
        <f t="shared" si="33"/>
        <v>9</v>
      </c>
      <c r="G279" s="3">
        <f t="shared" si="34"/>
        <v>2025</v>
      </c>
      <c r="H279" s="6" t="str">
        <f>IF(A279&lt;&gt;" ",G279&amp;"-"&amp;F279&amp;"-"&amp;COUNTIFS($G$2:G279,G279,$F$2:F279,F279)," ")</f>
        <v>2025-9-4</v>
      </c>
    </row>
    <row r="280" spans="1:8" x14ac:dyDescent="0.25">
      <c r="A280" s="11">
        <v>45905</v>
      </c>
      <c r="B280" s="3" t="str">
        <f t="shared" si="31"/>
        <v>sexta-feira</v>
      </c>
      <c r="C280" s="13">
        <v>68579.45</v>
      </c>
      <c r="D280" s="16">
        <v>2251</v>
      </c>
      <c r="E280" s="4">
        <f t="shared" si="32"/>
        <v>30.466215015548645</v>
      </c>
      <c r="F280" s="3">
        <f t="shared" si="33"/>
        <v>9</v>
      </c>
      <c r="G280" s="3">
        <f t="shared" si="34"/>
        <v>2025</v>
      </c>
      <c r="H280" s="6" t="str">
        <f>IF(A280&lt;&gt;" ",G280&amp;"-"&amp;F280&amp;"-"&amp;COUNTIFS($G$2:G280,G280,$F$2:F280,F280)," ")</f>
        <v>2025-9-5</v>
      </c>
    </row>
    <row r="281" spans="1:8" x14ac:dyDescent="0.25">
      <c r="A281" s="11">
        <v>45906</v>
      </c>
      <c r="B281" s="3" t="str">
        <f t="shared" ref="B281:B344" si="35">IF(A281&lt;&gt;" ",TEXT(A281,"dddd")," ")</f>
        <v>sábado</v>
      </c>
      <c r="C281" s="13">
        <v>66071.289999999994</v>
      </c>
      <c r="D281" s="16">
        <v>2041</v>
      </c>
      <c r="E281" s="4">
        <f t="shared" ref="E281:E344" si="36">IF(D281&gt;0,C281/D281," ")</f>
        <v>32.372018618324347</v>
      </c>
      <c r="F281" s="3">
        <f t="shared" ref="F281:F344" si="37">IF(A281&lt;&gt;" ",MONTH(A281)," ")</f>
        <v>9</v>
      </c>
      <c r="G281" s="3">
        <f t="shared" ref="G281:G344" si="38">IF(A281&lt;&gt;" ",YEAR(A281)," ")</f>
        <v>2025</v>
      </c>
      <c r="H281" s="6" t="str">
        <f>IF(A281&lt;&gt;" ",G281&amp;"-"&amp;F281&amp;"-"&amp;COUNTIFS($G$2:G281,G281,$F$2:F281,F281)," ")</f>
        <v>2025-9-6</v>
      </c>
    </row>
    <row r="282" spans="1:8" x14ac:dyDescent="0.25">
      <c r="A282" s="11">
        <v>45907</v>
      </c>
      <c r="B282" s="3" t="str">
        <f t="shared" si="35"/>
        <v>domingo</v>
      </c>
      <c r="C282" s="13">
        <v>22285.85</v>
      </c>
      <c r="D282" s="16">
        <v>933</v>
      </c>
      <c r="E282" s="4">
        <f t="shared" si="36"/>
        <v>23.886227224008572</v>
      </c>
      <c r="F282" s="3">
        <f t="shared" si="37"/>
        <v>9</v>
      </c>
      <c r="G282" s="3">
        <f t="shared" si="38"/>
        <v>2025</v>
      </c>
      <c r="H282" s="6" t="str">
        <f>IF(A282&lt;&gt;" ",G282&amp;"-"&amp;F282&amp;"-"&amp;COUNTIFS($G$2:G282,G282,$F$2:F282,F282)," ")</f>
        <v>2025-9-7</v>
      </c>
    </row>
    <row r="283" spans="1:8" x14ac:dyDescent="0.25">
      <c r="A283" s="11">
        <v>45908</v>
      </c>
      <c r="B283" s="3" t="str">
        <f t="shared" si="35"/>
        <v>segunda-feira</v>
      </c>
      <c r="C283" s="13">
        <v>58955.78</v>
      </c>
      <c r="D283" s="16">
        <v>2103</v>
      </c>
      <c r="E283" s="4">
        <f t="shared" si="36"/>
        <v>28.034132192106515</v>
      </c>
      <c r="F283" s="3">
        <f t="shared" si="37"/>
        <v>9</v>
      </c>
      <c r="G283" s="3">
        <f t="shared" si="38"/>
        <v>2025</v>
      </c>
      <c r="H283" s="6" t="str">
        <f>IF(A283&lt;&gt;" ",G283&amp;"-"&amp;F283&amp;"-"&amp;COUNTIFS($G$2:G283,G283,$F$2:F283,F283)," ")</f>
        <v>2025-9-8</v>
      </c>
    </row>
    <row r="284" spans="1:8" x14ac:dyDescent="0.25">
      <c r="A284" s="11">
        <v>45909</v>
      </c>
      <c r="B284" s="3" t="str">
        <f t="shared" si="35"/>
        <v>terça-feira</v>
      </c>
      <c r="C284" s="13">
        <v>48795.6</v>
      </c>
      <c r="D284" s="16">
        <v>1947</v>
      </c>
      <c r="E284" s="4">
        <f t="shared" si="36"/>
        <v>25.061941448382125</v>
      </c>
      <c r="F284" s="3">
        <f t="shared" si="37"/>
        <v>9</v>
      </c>
      <c r="G284" s="3">
        <f t="shared" si="38"/>
        <v>2025</v>
      </c>
      <c r="H284" s="6" t="str">
        <f>IF(A284&lt;&gt;" ",G284&amp;"-"&amp;F284&amp;"-"&amp;COUNTIFS($G$2:G284,G284,$F$2:F284,F284)," ")</f>
        <v>2025-9-9</v>
      </c>
    </row>
    <row r="285" spans="1:8" x14ac:dyDescent="0.25">
      <c r="A285" s="11">
        <v>45910</v>
      </c>
      <c r="B285" s="3" t="str">
        <f t="shared" si="35"/>
        <v>quarta-feira</v>
      </c>
      <c r="C285" s="13">
        <v>50291.1</v>
      </c>
      <c r="D285" s="16">
        <v>1978</v>
      </c>
      <c r="E285" s="4">
        <f t="shared" si="36"/>
        <v>25.425227502527804</v>
      </c>
      <c r="F285" s="3">
        <f t="shared" si="37"/>
        <v>9</v>
      </c>
      <c r="G285" s="3">
        <f t="shared" si="38"/>
        <v>2025</v>
      </c>
      <c r="H285" s="6" t="str">
        <f>IF(A285&lt;&gt;" ",G285&amp;"-"&amp;F285&amp;"-"&amp;COUNTIFS($G$2:G285,G285,$F$2:F285,F285)," ")</f>
        <v>2025-9-10</v>
      </c>
    </row>
    <row r="286" spans="1:8" x14ac:dyDescent="0.25">
      <c r="A286" s="11">
        <v>45911</v>
      </c>
      <c r="B286" s="3" t="str">
        <f t="shared" si="35"/>
        <v>quinta-feira</v>
      </c>
      <c r="C286" s="13">
        <v>61448.97</v>
      </c>
      <c r="D286" s="16">
        <v>2220</v>
      </c>
      <c r="E286" s="4">
        <f t="shared" si="36"/>
        <v>27.679716216216217</v>
      </c>
      <c r="F286" s="3">
        <f t="shared" si="37"/>
        <v>9</v>
      </c>
      <c r="G286" s="3">
        <f t="shared" si="38"/>
        <v>2025</v>
      </c>
      <c r="H286" s="6" t="str">
        <f>IF(A286&lt;&gt;" ",G286&amp;"-"&amp;F286&amp;"-"&amp;COUNTIFS($G$2:G286,G286,$F$2:F286,F286)," ")</f>
        <v>2025-9-11</v>
      </c>
    </row>
    <row r="287" spans="1:8" x14ac:dyDescent="0.25">
      <c r="A287" s="11">
        <v>45912</v>
      </c>
      <c r="B287" s="3" t="str">
        <f t="shared" si="35"/>
        <v>sexta-feira</v>
      </c>
      <c r="C287" s="13">
        <v>62392.27</v>
      </c>
      <c r="D287" s="16">
        <v>2147</v>
      </c>
      <c r="E287" s="4">
        <f t="shared" si="36"/>
        <v>29.060209594783416</v>
      </c>
      <c r="F287" s="3">
        <f t="shared" si="37"/>
        <v>9</v>
      </c>
      <c r="G287" s="3">
        <f t="shared" si="38"/>
        <v>2025</v>
      </c>
      <c r="H287" s="6" t="str">
        <f>IF(A287&lt;&gt;" ",G287&amp;"-"&amp;F287&amp;"-"&amp;COUNTIFS($G$2:G287,G287,$F$2:F287,F287)," ")</f>
        <v>2025-9-12</v>
      </c>
    </row>
    <row r="288" spans="1:8" x14ac:dyDescent="0.25">
      <c r="A288" s="11">
        <v>45913</v>
      </c>
      <c r="B288" s="3" t="str">
        <f t="shared" si="35"/>
        <v>sábado</v>
      </c>
      <c r="C288" s="13">
        <v>63624.75</v>
      </c>
      <c r="D288" s="16">
        <v>1906</v>
      </c>
      <c r="E288" s="4">
        <f t="shared" si="36"/>
        <v>33.381295907660018</v>
      </c>
      <c r="F288" s="3">
        <f t="shared" si="37"/>
        <v>9</v>
      </c>
      <c r="G288" s="3">
        <f t="shared" si="38"/>
        <v>2025</v>
      </c>
      <c r="H288" s="6" t="str">
        <f>IF(A288&lt;&gt;" ",G288&amp;"-"&amp;F288&amp;"-"&amp;COUNTIFS($G$2:G288,G288,$F$2:F288,F288)," ")</f>
        <v>2025-9-13</v>
      </c>
    </row>
    <row r="289" spans="1:8" x14ac:dyDescent="0.25">
      <c r="A289" s="11">
        <v>45914</v>
      </c>
      <c r="B289" s="3" t="str">
        <f t="shared" si="35"/>
        <v>domingo</v>
      </c>
      <c r="C289" s="13">
        <v>20683.34</v>
      </c>
      <c r="D289" s="16">
        <v>754</v>
      </c>
      <c r="E289" s="4">
        <f t="shared" si="36"/>
        <v>27.431485411140585</v>
      </c>
      <c r="F289" s="3">
        <f t="shared" si="37"/>
        <v>9</v>
      </c>
      <c r="G289" s="3">
        <f t="shared" si="38"/>
        <v>2025</v>
      </c>
      <c r="H289" s="6" t="str">
        <f>IF(A289&lt;&gt;" ",G289&amp;"-"&amp;F289&amp;"-"&amp;COUNTIFS($G$2:G289,G289,$F$2:F289,F289)," ")</f>
        <v>2025-9-14</v>
      </c>
    </row>
    <row r="290" spans="1:8" x14ac:dyDescent="0.25">
      <c r="A290" s="11">
        <v>45915</v>
      </c>
      <c r="B290" s="3" t="str">
        <f t="shared" si="35"/>
        <v>segunda-feira</v>
      </c>
      <c r="C290" s="13">
        <v>57743.89</v>
      </c>
      <c r="D290" s="16">
        <v>1971</v>
      </c>
      <c r="E290" s="4">
        <f t="shared" si="36"/>
        <v>29.296747843734146</v>
      </c>
      <c r="F290" s="3">
        <f t="shared" si="37"/>
        <v>9</v>
      </c>
      <c r="G290" s="3">
        <f t="shared" si="38"/>
        <v>2025</v>
      </c>
      <c r="H290" s="6" t="str">
        <f>IF(A290&lt;&gt;" ",G290&amp;"-"&amp;F290&amp;"-"&amp;COUNTIFS($G$2:G290,G290,$F$2:F290,F290)," ")</f>
        <v>2025-9-15</v>
      </c>
    </row>
    <row r="291" spans="1:8" x14ac:dyDescent="0.25">
      <c r="A291" s="11">
        <v>45916</v>
      </c>
      <c r="B291" s="3" t="str">
        <f t="shared" si="35"/>
        <v>terça-feira</v>
      </c>
      <c r="C291" s="13">
        <v>50864.49</v>
      </c>
      <c r="D291" s="16">
        <v>1835</v>
      </c>
      <c r="E291" s="4">
        <f t="shared" si="36"/>
        <v>27.719068119891006</v>
      </c>
      <c r="F291" s="3">
        <f t="shared" si="37"/>
        <v>9</v>
      </c>
      <c r="G291" s="3">
        <f t="shared" si="38"/>
        <v>2025</v>
      </c>
      <c r="H291" s="6" t="str">
        <f>IF(A291&lt;&gt;" ",G291&amp;"-"&amp;F291&amp;"-"&amp;COUNTIFS($G$2:G291,G291,$F$2:F291,F291)," ")</f>
        <v>2025-9-16</v>
      </c>
    </row>
    <row r="292" spans="1:8" x14ac:dyDescent="0.25">
      <c r="A292" s="11">
        <v>45917</v>
      </c>
      <c r="B292" s="3" t="str">
        <f t="shared" si="35"/>
        <v>quarta-feira</v>
      </c>
      <c r="C292" s="13">
        <v>49423.3</v>
      </c>
      <c r="D292" s="16">
        <v>1867</v>
      </c>
      <c r="E292" s="4">
        <f t="shared" si="36"/>
        <v>26.472040707016607</v>
      </c>
      <c r="F292" s="3">
        <f t="shared" si="37"/>
        <v>9</v>
      </c>
      <c r="G292" s="3">
        <f t="shared" si="38"/>
        <v>2025</v>
      </c>
      <c r="H292" s="6" t="str">
        <f>IF(A292&lt;&gt;" ",G292&amp;"-"&amp;F292&amp;"-"&amp;COUNTIFS($G$2:G292,G292,$F$2:F292,F292)," ")</f>
        <v>2025-9-17</v>
      </c>
    </row>
    <row r="293" spans="1:8" x14ac:dyDescent="0.25">
      <c r="A293" s="11">
        <v>45918</v>
      </c>
      <c r="B293" s="3" t="str">
        <f t="shared" si="35"/>
        <v>quinta-feira</v>
      </c>
      <c r="C293" s="13">
        <v>59701.3</v>
      </c>
      <c r="D293" s="16">
        <v>2091</v>
      </c>
      <c r="E293" s="4">
        <f t="shared" si="36"/>
        <v>28.551554280248688</v>
      </c>
      <c r="F293" s="3">
        <f t="shared" si="37"/>
        <v>9</v>
      </c>
      <c r="G293" s="3">
        <f t="shared" si="38"/>
        <v>2025</v>
      </c>
      <c r="H293" s="6" t="str">
        <f>IF(A293&lt;&gt;" ",G293&amp;"-"&amp;F293&amp;"-"&amp;COUNTIFS($G$2:G293,G293,$F$2:F293,F293)," ")</f>
        <v>2025-9-18</v>
      </c>
    </row>
    <row r="294" spans="1:8" x14ac:dyDescent="0.25">
      <c r="A294" s="11">
        <v>45919</v>
      </c>
      <c r="B294" s="3" t="str">
        <f t="shared" si="35"/>
        <v>sexta-feira</v>
      </c>
      <c r="C294" s="13">
        <v>68711.88</v>
      </c>
      <c r="D294" s="16">
        <v>2080</v>
      </c>
      <c r="E294" s="4">
        <f t="shared" si="36"/>
        <v>33.034557692307693</v>
      </c>
      <c r="F294" s="3">
        <f t="shared" si="37"/>
        <v>9</v>
      </c>
      <c r="G294" s="3">
        <f t="shared" si="38"/>
        <v>2025</v>
      </c>
      <c r="H294" s="6" t="str">
        <f>IF(A294&lt;&gt;" ",G294&amp;"-"&amp;F294&amp;"-"&amp;COUNTIFS($G$2:G294,G294,$F$2:F294,F294)," ")</f>
        <v>2025-9-19</v>
      </c>
    </row>
    <row r="295" spans="1:8" x14ac:dyDescent="0.25">
      <c r="A295" s="11">
        <v>45920</v>
      </c>
      <c r="B295" s="3" t="str">
        <f t="shared" si="35"/>
        <v>sábado</v>
      </c>
      <c r="C295" s="13">
        <v>71479.009999999995</v>
      </c>
      <c r="D295" s="16">
        <v>1904</v>
      </c>
      <c r="E295" s="4">
        <f t="shared" si="36"/>
        <v>37.541496848739492</v>
      </c>
      <c r="F295" s="3">
        <f t="shared" si="37"/>
        <v>9</v>
      </c>
      <c r="G295" s="3">
        <f t="shared" si="38"/>
        <v>2025</v>
      </c>
      <c r="H295" s="6" t="str">
        <f>IF(A295&lt;&gt;" ",G295&amp;"-"&amp;F295&amp;"-"&amp;COUNTIFS($G$2:G295,G295,$F$2:F295,F295)," ")</f>
        <v>2025-9-20</v>
      </c>
    </row>
    <row r="296" spans="1:8" x14ac:dyDescent="0.25">
      <c r="A296" s="11">
        <v>45921</v>
      </c>
      <c r="B296" s="3" t="str">
        <f t="shared" si="35"/>
        <v>domingo</v>
      </c>
      <c r="C296" s="13">
        <v>20239.009999999998</v>
      </c>
      <c r="D296" s="16">
        <v>721</v>
      </c>
      <c r="E296" s="4">
        <f t="shared" si="36"/>
        <v>28.070748959778083</v>
      </c>
      <c r="F296" s="3">
        <f t="shared" si="37"/>
        <v>9</v>
      </c>
      <c r="G296" s="3">
        <f t="shared" si="38"/>
        <v>2025</v>
      </c>
      <c r="H296" s="6" t="str">
        <f>IF(A296&lt;&gt;" ",G296&amp;"-"&amp;F296&amp;"-"&amp;COUNTIFS($G$2:G296,G296,$F$2:F296,F296)," ")</f>
        <v>2025-9-21</v>
      </c>
    </row>
    <row r="297" spans="1:8" x14ac:dyDescent="0.25">
      <c r="A297" s="11">
        <v>45922</v>
      </c>
      <c r="B297" s="3" t="str">
        <f t="shared" si="35"/>
        <v>segunda-feira</v>
      </c>
      <c r="C297" s="13">
        <v>51612.480000000003</v>
      </c>
      <c r="D297" s="16">
        <v>1603</v>
      </c>
      <c r="E297" s="4">
        <f t="shared" si="36"/>
        <v>32.197429819089209</v>
      </c>
      <c r="F297" s="3">
        <f t="shared" si="37"/>
        <v>9</v>
      </c>
      <c r="G297" s="3">
        <f t="shared" si="38"/>
        <v>2025</v>
      </c>
      <c r="H297" s="6" t="str">
        <f>IF(A297&lt;&gt;" ",G297&amp;"-"&amp;F297&amp;"-"&amp;COUNTIFS($G$2:G297,G297,$F$2:F297,F297)," ")</f>
        <v>2025-9-22</v>
      </c>
    </row>
    <row r="298" spans="1:8" x14ac:dyDescent="0.25">
      <c r="A298" s="11">
        <v>45923</v>
      </c>
      <c r="B298" s="3" t="str">
        <f t="shared" si="35"/>
        <v>terça-feira</v>
      </c>
      <c r="C298" s="13">
        <v>72963.77</v>
      </c>
      <c r="D298" s="16">
        <v>2056</v>
      </c>
      <c r="E298" s="4">
        <f t="shared" si="36"/>
        <v>35.488214980544747</v>
      </c>
      <c r="F298" s="3">
        <f t="shared" si="37"/>
        <v>9</v>
      </c>
      <c r="G298" s="3">
        <f t="shared" si="38"/>
        <v>2025</v>
      </c>
      <c r="H298" s="6" t="str">
        <f>IF(A298&lt;&gt;" ",G298&amp;"-"&amp;F298&amp;"-"&amp;COUNTIFS($G$2:G298,G298,$F$2:F298,F298)," ")</f>
        <v>2025-9-23</v>
      </c>
    </row>
    <row r="299" spans="1:8" x14ac:dyDescent="0.25">
      <c r="A299" s="11">
        <v>45924</v>
      </c>
      <c r="B299" s="3" t="str">
        <f t="shared" si="35"/>
        <v>quarta-feira</v>
      </c>
      <c r="C299" s="13">
        <v>80125.2</v>
      </c>
      <c r="D299" s="16">
        <v>2076</v>
      </c>
      <c r="E299" s="4">
        <f t="shared" si="36"/>
        <v>38.595953757225431</v>
      </c>
      <c r="F299" s="3">
        <f t="shared" si="37"/>
        <v>9</v>
      </c>
      <c r="G299" s="3">
        <f t="shared" si="38"/>
        <v>2025</v>
      </c>
      <c r="H299" s="6" t="str">
        <f>IF(A299&lt;&gt;" ",G299&amp;"-"&amp;F299&amp;"-"&amp;COUNTIFS($G$2:G299,G299,$F$2:F299,F299)," ")</f>
        <v>2025-9-24</v>
      </c>
    </row>
    <row r="300" spans="1:8" x14ac:dyDescent="0.25">
      <c r="A300" s="11">
        <v>45925</v>
      </c>
      <c r="B300" s="3" t="str">
        <f t="shared" si="35"/>
        <v>quinta-feira</v>
      </c>
      <c r="C300" s="13">
        <v>98119.35</v>
      </c>
      <c r="D300" s="16">
        <v>2157</v>
      </c>
      <c r="E300" s="4">
        <f t="shared" si="36"/>
        <v>45.488803894297639</v>
      </c>
      <c r="F300" s="3">
        <f t="shared" si="37"/>
        <v>9</v>
      </c>
      <c r="G300" s="3">
        <f t="shared" si="38"/>
        <v>2025</v>
      </c>
      <c r="H300" s="6" t="str">
        <f>IF(A300&lt;&gt;" ",G300&amp;"-"&amp;F300&amp;"-"&amp;COUNTIFS($G$2:G300,G300,$F$2:F300,F300)," ")</f>
        <v>2025-9-25</v>
      </c>
    </row>
    <row r="301" spans="1:8" x14ac:dyDescent="0.25">
      <c r="A301" s="11">
        <v>45926</v>
      </c>
      <c r="B301" s="3" t="str">
        <f t="shared" si="35"/>
        <v>sexta-feira</v>
      </c>
      <c r="C301" s="13">
        <v>108631.89</v>
      </c>
      <c r="D301" s="16">
        <v>2355</v>
      </c>
      <c r="E301" s="4">
        <f t="shared" si="36"/>
        <v>46.128191082802545</v>
      </c>
      <c r="F301" s="3">
        <f t="shared" si="37"/>
        <v>9</v>
      </c>
      <c r="G301" s="3">
        <f t="shared" si="38"/>
        <v>2025</v>
      </c>
      <c r="H301" s="6" t="str">
        <f>IF(A301&lt;&gt;" ",G301&amp;"-"&amp;F301&amp;"-"&amp;COUNTIFS($G$2:G301,G301,$F$2:F301,F301)," ")</f>
        <v>2025-9-26</v>
      </c>
    </row>
    <row r="302" spans="1:8" x14ac:dyDescent="0.25">
      <c r="A302" s="11">
        <v>45927</v>
      </c>
      <c r="B302" s="3" t="str">
        <f t="shared" si="35"/>
        <v>sábado</v>
      </c>
      <c r="C302" s="13">
        <v>68994.5</v>
      </c>
      <c r="D302" s="16">
        <v>1907</v>
      </c>
      <c r="E302" s="4">
        <f t="shared" si="36"/>
        <v>36.179601468274775</v>
      </c>
      <c r="F302" s="3">
        <f t="shared" si="37"/>
        <v>9</v>
      </c>
      <c r="G302" s="3">
        <f t="shared" si="38"/>
        <v>2025</v>
      </c>
      <c r="H302" s="6" t="str">
        <f>IF(A302&lt;&gt;" ",G302&amp;"-"&amp;F302&amp;"-"&amp;COUNTIFS($G$2:G302,G302,$F$2:F302,F302)," ")</f>
        <v>2025-9-27</v>
      </c>
    </row>
    <row r="303" spans="1:8" x14ac:dyDescent="0.25">
      <c r="A303" s="11">
        <v>45928</v>
      </c>
      <c r="B303" s="3" t="str">
        <f t="shared" si="35"/>
        <v>domingo</v>
      </c>
      <c r="C303" s="13">
        <v>17019.29</v>
      </c>
      <c r="D303" s="16">
        <v>769</v>
      </c>
      <c r="E303" s="4">
        <f t="shared" si="36"/>
        <v>22.131716514954487</v>
      </c>
      <c r="F303" s="3">
        <f t="shared" si="37"/>
        <v>9</v>
      </c>
      <c r="G303" s="3">
        <f t="shared" si="38"/>
        <v>2025</v>
      </c>
      <c r="H303" s="6" t="str">
        <f>IF(A303&lt;&gt;" ",G303&amp;"-"&amp;F303&amp;"-"&amp;COUNTIFS($G$2:G303,G303,$F$2:F303,F303)," ")</f>
        <v>2025-9-28</v>
      </c>
    </row>
    <row r="304" spans="1:8" x14ac:dyDescent="0.25">
      <c r="A304" s="11">
        <v>45929</v>
      </c>
      <c r="B304" s="3" t="str">
        <f t="shared" si="35"/>
        <v>segunda-feira</v>
      </c>
      <c r="C304" s="13">
        <v>50926.720000000001</v>
      </c>
      <c r="D304" s="16">
        <v>1847</v>
      </c>
      <c r="E304" s="4">
        <f t="shared" si="36"/>
        <v>27.572669193286412</v>
      </c>
      <c r="F304" s="3">
        <f t="shared" si="37"/>
        <v>9</v>
      </c>
      <c r="G304" s="3">
        <f t="shared" si="38"/>
        <v>2025</v>
      </c>
      <c r="H304" s="6" t="str">
        <f>IF(A304&lt;&gt;" ",G304&amp;"-"&amp;F304&amp;"-"&amp;COUNTIFS($G$2:G304,G304,$F$2:F304,F304)," ")</f>
        <v>2025-9-29</v>
      </c>
    </row>
    <row r="305" spans="1:8" x14ac:dyDescent="0.25">
      <c r="A305" s="11">
        <v>45930</v>
      </c>
      <c r="B305" s="3" t="str">
        <f t="shared" si="35"/>
        <v>terça-feira</v>
      </c>
      <c r="C305" s="13">
        <v>66597.63</v>
      </c>
      <c r="D305" s="16">
        <v>2256</v>
      </c>
      <c r="E305" s="4">
        <f t="shared" si="36"/>
        <v>29.520226063829789</v>
      </c>
      <c r="F305" s="3">
        <f t="shared" si="37"/>
        <v>9</v>
      </c>
      <c r="G305" s="3">
        <f t="shared" si="38"/>
        <v>2025</v>
      </c>
      <c r="H305" s="6" t="str">
        <f>IF(A305&lt;&gt;" ",G305&amp;"-"&amp;F305&amp;"-"&amp;COUNTIFS($G$2:G305,G305,$F$2:F305,F305)," ")</f>
        <v>2025-9-30</v>
      </c>
    </row>
    <row r="306" spans="1:8" x14ac:dyDescent="0.25">
      <c r="A306" s="11">
        <v>45931</v>
      </c>
      <c r="B306" s="3" t="str">
        <f t="shared" si="35"/>
        <v>quarta-feira</v>
      </c>
      <c r="C306" s="13">
        <v>67204.990000000005</v>
      </c>
      <c r="D306" s="16">
        <v>2230</v>
      </c>
      <c r="E306" s="4">
        <f t="shared" si="36"/>
        <v>30.136766816143499</v>
      </c>
      <c r="F306" s="3">
        <f t="shared" si="37"/>
        <v>10</v>
      </c>
      <c r="G306" s="3">
        <f t="shared" si="38"/>
        <v>2025</v>
      </c>
      <c r="H306" s="6" t="str">
        <f>IF(A306&lt;&gt;" ",G306&amp;"-"&amp;F306&amp;"-"&amp;COUNTIFS($G$2:G306,G306,$F$2:F306,F306)," ")</f>
        <v>2025-10-1</v>
      </c>
    </row>
    <row r="307" spans="1:8" x14ac:dyDescent="0.25">
      <c r="A307" s="11">
        <v>45932</v>
      </c>
      <c r="B307" s="3" t="str">
        <f t="shared" si="35"/>
        <v>quinta-feira</v>
      </c>
      <c r="C307" s="13">
        <v>103210.15</v>
      </c>
      <c r="D307" s="16">
        <v>2657</v>
      </c>
      <c r="E307" s="4">
        <f t="shared" si="36"/>
        <v>38.844617990214523</v>
      </c>
      <c r="F307" s="3">
        <f t="shared" si="37"/>
        <v>10</v>
      </c>
      <c r="G307" s="3">
        <f t="shared" si="38"/>
        <v>2025</v>
      </c>
      <c r="H307" s="6" t="str">
        <f>IF(A307&lt;&gt;" ",G307&amp;"-"&amp;F307&amp;"-"&amp;COUNTIFS($G$2:G307,G307,$F$2:F307,F307)," ")</f>
        <v>2025-10-2</v>
      </c>
    </row>
    <row r="308" spans="1:8" x14ac:dyDescent="0.25">
      <c r="A308" s="11">
        <v>45933</v>
      </c>
      <c r="B308" s="3" t="str">
        <f t="shared" si="35"/>
        <v>sexta-feira</v>
      </c>
      <c r="C308" s="13">
        <v>61261.77</v>
      </c>
      <c r="D308" s="16">
        <v>2130</v>
      </c>
      <c r="E308" s="4">
        <f t="shared" si="36"/>
        <v>28.76139436619718</v>
      </c>
      <c r="F308" s="3">
        <f t="shared" si="37"/>
        <v>10</v>
      </c>
      <c r="G308" s="3">
        <f t="shared" si="38"/>
        <v>2025</v>
      </c>
      <c r="H308" s="6" t="str">
        <f>IF(A308&lt;&gt;" ",G308&amp;"-"&amp;F308&amp;"-"&amp;COUNTIFS($G$2:G308,G308,$F$2:F308,F308)," ")</f>
        <v>2025-10-3</v>
      </c>
    </row>
    <row r="309" spans="1:8" x14ac:dyDescent="0.25">
      <c r="A309" s="11">
        <v>45934</v>
      </c>
      <c r="B309" s="3" t="str">
        <f t="shared" si="35"/>
        <v>sábado</v>
      </c>
      <c r="C309" s="13">
        <v>48142.35</v>
      </c>
      <c r="D309" s="16">
        <v>1729</v>
      </c>
      <c r="E309" s="4">
        <f t="shared" si="36"/>
        <v>27.844042799305956</v>
      </c>
      <c r="F309" s="3">
        <f t="shared" si="37"/>
        <v>10</v>
      </c>
      <c r="G309" s="3">
        <f t="shared" si="38"/>
        <v>2025</v>
      </c>
      <c r="H309" s="6" t="str">
        <f>IF(A309&lt;&gt;" ",G309&amp;"-"&amp;F309&amp;"-"&amp;COUNTIFS($G$2:G309,G309,$F$2:F309,F309)," ")</f>
        <v>2025-10-4</v>
      </c>
    </row>
    <row r="310" spans="1:8" x14ac:dyDescent="0.25">
      <c r="A310" s="11">
        <v>45935</v>
      </c>
      <c r="B310" s="3" t="str">
        <f t="shared" si="35"/>
        <v>domingo</v>
      </c>
      <c r="C310" s="13">
        <v>19389.41</v>
      </c>
      <c r="D310" s="16">
        <v>862</v>
      </c>
      <c r="E310" s="4">
        <f t="shared" si="36"/>
        <v>22.493515081206496</v>
      </c>
      <c r="F310" s="3">
        <f t="shared" si="37"/>
        <v>10</v>
      </c>
      <c r="G310" s="3">
        <f t="shared" si="38"/>
        <v>2025</v>
      </c>
      <c r="H310" s="6" t="str">
        <f>IF(A310&lt;&gt;" ",G310&amp;"-"&amp;F310&amp;"-"&amp;COUNTIFS($G$2:G310,G310,$F$2:F310,F310)," ")</f>
        <v>2025-10-5</v>
      </c>
    </row>
    <row r="311" spans="1:8" x14ac:dyDescent="0.25">
      <c r="A311" s="11">
        <v>45936</v>
      </c>
      <c r="B311" s="3" t="str">
        <f t="shared" si="35"/>
        <v>segunda-feira</v>
      </c>
      <c r="C311" s="13">
        <v>53870.85</v>
      </c>
      <c r="D311" s="16">
        <v>1986</v>
      </c>
      <c r="E311" s="4">
        <f t="shared" si="36"/>
        <v>27.125302114803624</v>
      </c>
      <c r="F311" s="3">
        <f t="shared" si="37"/>
        <v>10</v>
      </c>
      <c r="G311" s="3">
        <f t="shared" si="38"/>
        <v>2025</v>
      </c>
      <c r="H311" s="6" t="str">
        <f>IF(A311&lt;&gt;" ",G311&amp;"-"&amp;F311&amp;"-"&amp;COUNTIFS($G$2:G311,G311,$F$2:F311,F311)," ")</f>
        <v>2025-10-6</v>
      </c>
    </row>
    <row r="312" spans="1:8" x14ac:dyDescent="0.25">
      <c r="A312" s="11">
        <v>45937</v>
      </c>
      <c r="B312" s="3" t="str">
        <f t="shared" si="35"/>
        <v>terça-feira</v>
      </c>
      <c r="C312" s="13">
        <v>59614.54</v>
      </c>
      <c r="D312" s="16">
        <v>2088</v>
      </c>
      <c r="E312" s="4">
        <f t="shared" si="36"/>
        <v>28.551024904214561</v>
      </c>
      <c r="F312" s="3">
        <f t="shared" si="37"/>
        <v>10</v>
      </c>
      <c r="G312" s="3">
        <f t="shared" si="38"/>
        <v>2025</v>
      </c>
      <c r="H312" s="6" t="str">
        <f>IF(A312&lt;&gt;" ",G312&amp;"-"&amp;F312&amp;"-"&amp;COUNTIFS($G$2:G312,G312,$F$2:F312,F312)," ")</f>
        <v>2025-10-7</v>
      </c>
    </row>
    <row r="313" spans="1:8" x14ac:dyDescent="0.25">
      <c r="A313" s="11">
        <v>45938</v>
      </c>
      <c r="B313" s="3" t="str">
        <f t="shared" si="35"/>
        <v>quarta-feira</v>
      </c>
      <c r="C313" s="13">
        <v>61271.03</v>
      </c>
      <c r="D313" s="16">
        <v>2051</v>
      </c>
      <c r="E313" s="4">
        <f t="shared" si="36"/>
        <v>29.873734763529985</v>
      </c>
      <c r="F313" s="3">
        <f t="shared" si="37"/>
        <v>10</v>
      </c>
      <c r="G313" s="3">
        <f t="shared" si="38"/>
        <v>2025</v>
      </c>
      <c r="H313" s="6" t="str">
        <f>IF(A313&lt;&gt;" ",G313&amp;"-"&amp;F313&amp;"-"&amp;COUNTIFS($G$2:G313,G313,$F$2:F313,F313)," ")</f>
        <v>2025-10-8</v>
      </c>
    </row>
    <row r="314" spans="1:8" x14ac:dyDescent="0.25">
      <c r="A314" s="11">
        <v>45939</v>
      </c>
      <c r="B314" s="3" t="str">
        <f t="shared" si="35"/>
        <v>quinta-feira</v>
      </c>
      <c r="C314" s="13">
        <v>52637.2</v>
      </c>
      <c r="D314" s="16">
        <v>1995</v>
      </c>
      <c r="E314" s="4">
        <f t="shared" si="36"/>
        <v>26.384561403508769</v>
      </c>
      <c r="F314" s="3">
        <f t="shared" si="37"/>
        <v>10</v>
      </c>
      <c r="G314" s="3">
        <f t="shared" si="38"/>
        <v>2025</v>
      </c>
      <c r="H314" s="6" t="str">
        <f>IF(A314&lt;&gt;" ",G314&amp;"-"&amp;F314&amp;"-"&amp;COUNTIFS($G$2:G314,G314,$F$2:F314,F314)," ")</f>
        <v>2025-10-9</v>
      </c>
    </row>
    <row r="315" spans="1:8" x14ac:dyDescent="0.25">
      <c r="A315" s="11">
        <v>45940</v>
      </c>
      <c r="B315" s="3" t="str">
        <f t="shared" si="35"/>
        <v>sexta-feira</v>
      </c>
      <c r="C315" s="13">
        <v>66829.5</v>
      </c>
      <c r="D315" s="16">
        <v>2250</v>
      </c>
      <c r="E315" s="4">
        <f t="shared" si="36"/>
        <v>29.702000000000002</v>
      </c>
      <c r="F315" s="3">
        <f t="shared" si="37"/>
        <v>10</v>
      </c>
      <c r="G315" s="3">
        <f t="shared" si="38"/>
        <v>2025</v>
      </c>
      <c r="H315" s="6" t="str">
        <f>IF(A315&lt;&gt;" ",G315&amp;"-"&amp;F315&amp;"-"&amp;COUNTIFS($G$2:G315,G315,$F$2:F315,F315)," ")</f>
        <v>2025-10-10</v>
      </c>
    </row>
    <row r="316" spans="1:8" x14ac:dyDescent="0.25">
      <c r="A316" s="11">
        <v>45941</v>
      </c>
      <c r="B316" s="3" t="str">
        <f t="shared" si="35"/>
        <v>sábado</v>
      </c>
      <c r="C316" s="13">
        <v>57731.35</v>
      </c>
      <c r="D316" s="16">
        <v>1985</v>
      </c>
      <c r="E316" s="4">
        <f t="shared" si="36"/>
        <v>29.083803526448364</v>
      </c>
      <c r="F316" s="3">
        <f t="shared" si="37"/>
        <v>10</v>
      </c>
      <c r="G316" s="3">
        <f t="shared" si="38"/>
        <v>2025</v>
      </c>
      <c r="H316" s="6" t="str">
        <f>IF(A316&lt;&gt;" ",G316&amp;"-"&amp;F316&amp;"-"&amp;COUNTIFS($G$2:G316,G316,$F$2:F316,F316)," ")</f>
        <v>2025-10-11</v>
      </c>
    </row>
    <row r="317" spans="1:8" x14ac:dyDescent="0.25">
      <c r="A317" s="11">
        <v>45942</v>
      </c>
      <c r="B317" s="3" t="str">
        <f t="shared" si="35"/>
        <v>domingo</v>
      </c>
      <c r="C317" s="13">
        <v>19821.59</v>
      </c>
      <c r="D317" s="16">
        <v>866</v>
      </c>
      <c r="E317" s="4">
        <f t="shared" si="36"/>
        <v>22.888672055427254</v>
      </c>
      <c r="F317" s="3">
        <f t="shared" si="37"/>
        <v>10</v>
      </c>
      <c r="G317" s="3">
        <f t="shared" si="38"/>
        <v>2025</v>
      </c>
      <c r="H317" s="6" t="str">
        <f>IF(A317&lt;&gt;" ",G317&amp;"-"&amp;F317&amp;"-"&amp;COUNTIFS($G$2:G317,G317,$F$2:F317,F317)," ")</f>
        <v>2025-10-12</v>
      </c>
    </row>
    <row r="318" spans="1:8" x14ac:dyDescent="0.25">
      <c r="A318" s="11">
        <v>45943</v>
      </c>
      <c r="B318" s="3" t="str">
        <f t="shared" si="35"/>
        <v>segunda-feira</v>
      </c>
      <c r="C318" s="13">
        <v>48026.82</v>
      </c>
      <c r="D318" s="16">
        <v>1695</v>
      </c>
      <c r="E318" s="4">
        <f t="shared" si="36"/>
        <v>28.334407079646017</v>
      </c>
      <c r="F318" s="3">
        <f t="shared" si="37"/>
        <v>10</v>
      </c>
      <c r="G318" s="3">
        <f t="shared" si="38"/>
        <v>2025</v>
      </c>
      <c r="H318" s="6" t="str">
        <f>IF(A318&lt;&gt;" ",G318&amp;"-"&amp;F318&amp;"-"&amp;COUNTIFS($G$2:G318,G318,$F$2:F318,F318)," ")</f>
        <v>2025-10-13</v>
      </c>
    </row>
    <row r="319" spans="1:8" x14ac:dyDescent="0.25">
      <c r="A319" s="11">
        <v>45944</v>
      </c>
      <c r="B319" s="3" t="str">
        <f t="shared" si="35"/>
        <v>terça-feira</v>
      </c>
      <c r="C319" s="13">
        <v>51190.66</v>
      </c>
      <c r="D319" s="16">
        <v>2015</v>
      </c>
      <c r="E319" s="4">
        <f t="shared" si="36"/>
        <v>25.404794044665014</v>
      </c>
      <c r="F319" s="3">
        <f t="shared" si="37"/>
        <v>10</v>
      </c>
      <c r="G319" s="3">
        <f t="shared" si="38"/>
        <v>2025</v>
      </c>
      <c r="H319" s="6" t="str">
        <f>IF(A319&lt;&gt;" ",G319&amp;"-"&amp;F319&amp;"-"&amp;COUNTIFS($G$2:G319,G319,$F$2:F319,F319)," ")</f>
        <v>2025-10-14</v>
      </c>
    </row>
    <row r="320" spans="1:8" x14ac:dyDescent="0.25">
      <c r="A320" s="11">
        <v>45945</v>
      </c>
      <c r="B320" s="3" t="str">
        <f t="shared" si="35"/>
        <v>quarta-feira</v>
      </c>
      <c r="C320" s="13">
        <v>60833.62</v>
      </c>
      <c r="D320" s="16">
        <v>1033</v>
      </c>
      <c r="E320" s="4">
        <f t="shared" si="36"/>
        <v>58.890242013552765</v>
      </c>
      <c r="F320" s="3">
        <f t="shared" si="37"/>
        <v>10</v>
      </c>
      <c r="G320" s="3">
        <f t="shared" si="38"/>
        <v>2025</v>
      </c>
      <c r="H320" s="6" t="str">
        <f>IF(A320&lt;&gt;" ",G320&amp;"-"&amp;F320&amp;"-"&amp;COUNTIFS($G$2:G320,G320,$F$2:F320,F320)," ")</f>
        <v>2025-10-15</v>
      </c>
    </row>
    <row r="321" spans="1:8" x14ac:dyDescent="0.25">
      <c r="A321" s="11">
        <v>45946</v>
      </c>
      <c r="B321" s="3" t="str">
        <f t="shared" si="35"/>
        <v>quinta-feira</v>
      </c>
      <c r="C321" s="13">
        <v>59254.02</v>
      </c>
      <c r="D321" s="16">
        <v>2023</v>
      </c>
      <c r="E321" s="4">
        <f t="shared" si="36"/>
        <v>29.29017301038062</v>
      </c>
      <c r="F321" s="3">
        <f t="shared" si="37"/>
        <v>10</v>
      </c>
      <c r="G321" s="3">
        <f t="shared" si="38"/>
        <v>2025</v>
      </c>
      <c r="H321" s="6" t="str">
        <f>IF(A321&lt;&gt;" ",G321&amp;"-"&amp;F321&amp;"-"&amp;COUNTIFS($G$2:G321,G321,$F$2:F321,F321)," ")</f>
        <v>2025-10-16</v>
      </c>
    </row>
    <row r="322" spans="1:8" x14ac:dyDescent="0.25">
      <c r="A322" s="11">
        <v>45947</v>
      </c>
      <c r="B322" s="3" t="str">
        <f t="shared" si="35"/>
        <v>sexta-feira</v>
      </c>
      <c r="C322" s="13">
        <v>50729.71</v>
      </c>
      <c r="D322" s="16">
        <v>1993</v>
      </c>
      <c r="E322" s="4">
        <f t="shared" si="36"/>
        <v>25.453943803311589</v>
      </c>
      <c r="F322" s="3">
        <f t="shared" si="37"/>
        <v>10</v>
      </c>
      <c r="G322" s="3">
        <f t="shared" si="38"/>
        <v>2025</v>
      </c>
      <c r="H322" s="6" t="str">
        <f>IF(A322&lt;&gt;" ",G322&amp;"-"&amp;F322&amp;"-"&amp;COUNTIFS($G$2:G322,G322,$F$2:F322,F322)," ")</f>
        <v>2025-10-17</v>
      </c>
    </row>
    <row r="323" spans="1:8" x14ac:dyDescent="0.25">
      <c r="A323" s="11">
        <v>45948</v>
      </c>
      <c r="B323" s="3" t="str">
        <f t="shared" si="35"/>
        <v>sábado</v>
      </c>
      <c r="C323" s="13">
        <v>47863.64</v>
      </c>
      <c r="D323" s="16">
        <v>1705</v>
      </c>
      <c r="E323" s="4">
        <f t="shared" si="36"/>
        <v>28.072516129032259</v>
      </c>
      <c r="F323" s="3">
        <f t="shared" si="37"/>
        <v>10</v>
      </c>
      <c r="G323" s="3">
        <f t="shared" si="38"/>
        <v>2025</v>
      </c>
      <c r="H323" s="6" t="str">
        <f>IF(A323&lt;&gt;" ",G323&amp;"-"&amp;F323&amp;"-"&amp;COUNTIFS($G$2:G323,G323,$F$2:F323,F323)," ")</f>
        <v>2025-10-18</v>
      </c>
    </row>
    <row r="324" spans="1:8" x14ac:dyDescent="0.25">
      <c r="A324" s="11">
        <v>45949</v>
      </c>
      <c r="B324" s="3" t="str">
        <f t="shared" si="35"/>
        <v>domingo</v>
      </c>
      <c r="C324" s="13">
        <v>12981.47</v>
      </c>
      <c r="D324" s="16">
        <v>537</v>
      </c>
      <c r="E324" s="4">
        <f t="shared" si="36"/>
        <v>24.174059590316574</v>
      </c>
      <c r="F324" s="3">
        <f t="shared" si="37"/>
        <v>10</v>
      </c>
      <c r="G324" s="3">
        <f t="shared" si="38"/>
        <v>2025</v>
      </c>
      <c r="H324" s="6" t="str">
        <f>IF(A324&lt;&gt;" ",G324&amp;"-"&amp;F324&amp;"-"&amp;COUNTIFS($G$2:G324,G324,$F$2:F324,F324)," ")</f>
        <v>2025-10-19</v>
      </c>
    </row>
    <row r="325" spans="1:8" x14ac:dyDescent="0.25">
      <c r="A325" s="11">
        <v>45950</v>
      </c>
      <c r="B325" s="3" t="str">
        <f t="shared" si="35"/>
        <v>segunda-feira</v>
      </c>
      <c r="C325" s="13">
        <v>0</v>
      </c>
      <c r="D325" s="16">
        <v>0</v>
      </c>
      <c r="E325" s="4" t="str">
        <f t="shared" si="36"/>
        <v xml:space="preserve"> </v>
      </c>
      <c r="F325" s="3">
        <f t="shared" si="37"/>
        <v>10</v>
      </c>
      <c r="G325" s="3">
        <f t="shared" si="38"/>
        <v>2025</v>
      </c>
      <c r="H325" s="6" t="str">
        <f>IF(A325&lt;&gt;" ",G325&amp;"-"&amp;F325&amp;"-"&amp;COUNTIFS($G$2:G325,G325,$F$2:F325,F325)," ")</f>
        <v>2025-10-20</v>
      </c>
    </row>
    <row r="326" spans="1:8" x14ac:dyDescent="0.25">
      <c r="A326" s="11">
        <v>45951</v>
      </c>
      <c r="B326" s="3" t="str">
        <f t="shared" si="35"/>
        <v>terça-feira</v>
      </c>
      <c r="C326" s="13">
        <v>65029.24</v>
      </c>
      <c r="D326" s="16">
        <v>2240</v>
      </c>
      <c r="E326" s="4">
        <f t="shared" si="36"/>
        <v>29.030910714285714</v>
      </c>
      <c r="F326" s="3">
        <f t="shared" si="37"/>
        <v>10</v>
      </c>
      <c r="G326" s="3">
        <f t="shared" si="38"/>
        <v>2025</v>
      </c>
      <c r="H326" s="6" t="str">
        <f>IF(A326&lt;&gt;" ",G326&amp;"-"&amp;F326&amp;"-"&amp;COUNTIFS($G$2:G326,G326,$F$2:F326,F326)," ")</f>
        <v>2025-10-21</v>
      </c>
    </row>
    <row r="327" spans="1:8" x14ac:dyDescent="0.25">
      <c r="A327" s="11">
        <v>45952</v>
      </c>
      <c r="B327" s="3" t="str">
        <f t="shared" si="35"/>
        <v>quarta-feira</v>
      </c>
      <c r="C327" s="13">
        <v>56373.54</v>
      </c>
      <c r="D327" s="16">
        <v>2106</v>
      </c>
      <c r="E327" s="4">
        <f t="shared" si="36"/>
        <v>26.76806267806268</v>
      </c>
      <c r="F327" s="3">
        <f t="shared" si="37"/>
        <v>10</v>
      </c>
      <c r="G327" s="3">
        <f t="shared" si="38"/>
        <v>2025</v>
      </c>
      <c r="H327" s="6" t="str">
        <f>IF(A327&lt;&gt;" ",G327&amp;"-"&amp;F327&amp;"-"&amp;COUNTIFS($G$2:G327,G327,$F$2:F327,F327)," ")</f>
        <v>2025-10-22</v>
      </c>
    </row>
    <row r="328" spans="1:8" x14ac:dyDescent="0.25">
      <c r="A328" s="11">
        <v>45953</v>
      </c>
      <c r="B328" s="3" t="str">
        <f t="shared" si="35"/>
        <v>quinta-feira</v>
      </c>
      <c r="C328" s="13">
        <v>63945.88</v>
      </c>
      <c r="D328" s="16">
        <v>2223</v>
      </c>
      <c r="E328" s="4">
        <f t="shared" si="36"/>
        <v>28.765578047683309</v>
      </c>
      <c r="F328" s="3">
        <f t="shared" si="37"/>
        <v>10</v>
      </c>
      <c r="G328" s="3">
        <f t="shared" si="38"/>
        <v>2025</v>
      </c>
      <c r="H328" s="6" t="str">
        <f>IF(A328&lt;&gt;" ",G328&amp;"-"&amp;F328&amp;"-"&amp;COUNTIFS($G$2:G328,G328,$F$2:F328,F328)," ")</f>
        <v>2025-10-23</v>
      </c>
    </row>
    <row r="329" spans="1:8" x14ac:dyDescent="0.25">
      <c r="A329" s="11">
        <v>45954</v>
      </c>
      <c r="B329" s="3" t="str">
        <f t="shared" si="35"/>
        <v>sexta-feira</v>
      </c>
      <c r="C329" s="13">
        <v>52970.75</v>
      </c>
      <c r="D329" s="16">
        <v>2099</v>
      </c>
      <c r="E329" s="4">
        <f t="shared" si="36"/>
        <v>25.236183897093856</v>
      </c>
      <c r="F329" s="3">
        <f t="shared" si="37"/>
        <v>10</v>
      </c>
      <c r="G329" s="3">
        <f t="shared" si="38"/>
        <v>2025</v>
      </c>
      <c r="H329" s="6" t="str">
        <f>IF(A329&lt;&gt;" ",G329&amp;"-"&amp;F329&amp;"-"&amp;COUNTIFS($G$2:G329,G329,$F$2:F329,F329)," ")</f>
        <v>2025-10-24</v>
      </c>
    </row>
    <row r="330" spans="1:8" x14ac:dyDescent="0.25">
      <c r="A330" s="11">
        <v>45955</v>
      </c>
      <c r="B330" s="3" t="str">
        <f t="shared" si="35"/>
        <v>sábado</v>
      </c>
      <c r="C330" s="13">
        <v>49632.58</v>
      </c>
      <c r="D330" s="16">
        <v>1842</v>
      </c>
      <c r="E330" s="4">
        <f t="shared" si="36"/>
        <v>26.944940282301847</v>
      </c>
      <c r="F330" s="3">
        <f t="shared" si="37"/>
        <v>10</v>
      </c>
      <c r="G330" s="3">
        <f t="shared" si="38"/>
        <v>2025</v>
      </c>
      <c r="H330" s="6" t="str">
        <f>IF(A330&lt;&gt;" ",G330&amp;"-"&amp;F330&amp;"-"&amp;COUNTIFS($G$2:G330,G330,$F$2:F330,F330)," ")</f>
        <v>2025-10-25</v>
      </c>
    </row>
    <row r="331" spans="1:8" x14ac:dyDescent="0.25">
      <c r="A331" s="11">
        <v>45956</v>
      </c>
      <c r="B331" s="3" t="str">
        <f t="shared" si="35"/>
        <v>domingo</v>
      </c>
      <c r="C331" s="13">
        <v>15774.21</v>
      </c>
      <c r="D331" s="16">
        <v>761</v>
      </c>
      <c r="E331" s="4">
        <f t="shared" si="36"/>
        <v>20.728265440210247</v>
      </c>
      <c r="F331" s="3">
        <f t="shared" si="37"/>
        <v>10</v>
      </c>
      <c r="G331" s="3">
        <f t="shared" si="38"/>
        <v>2025</v>
      </c>
      <c r="H331" s="6" t="str">
        <f>IF(A331&lt;&gt;" ",G331&amp;"-"&amp;F331&amp;"-"&amp;COUNTIFS($G$2:G331,G331,$F$2:F331,F331)," ")</f>
        <v>2025-10-26</v>
      </c>
    </row>
    <row r="332" spans="1:8" x14ac:dyDescent="0.25">
      <c r="A332" s="11">
        <v>45957</v>
      </c>
      <c r="B332" s="3" t="str">
        <f t="shared" si="35"/>
        <v>segunda-feira</v>
      </c>
      <c r="C332" s="13">
        <v>32112.7</v>
      </c>
      <c r="D332" s="16">
        <v>1396</v>
      </c>
      <c r="E332" s="4">
        <f t="shared" si="36"/>
        <v>23.003366762177652</v>
      </c>
      <c r="F332" s="3">
        <f t="shared" si="37"/>
        <v>10</v>
      </c>
      <c r="G332" s="3">
        <f t="shared" si="38"/>
        <v>2025</v>
      </c>
      <c r="H332" s="6" t="str">
        <f>IF(A332&lt;&gt;" ",G332&amp;"-"&amp;F332&amp;"-"&amp;COUNTIFS($G$2:G332,G332,$F$2:F332,F332)," ")</f>
        <v>2025-10-27</v>
      </c>
    </row>
    <row r="333" spans="1:8" x14ac:dyDescent="0.25">
      <c r="A333" s="11">
        <v>45958</v>
      </c>
      <c r="B333" s="3" t="str">
        <f t="shared" si="35"/>
        <v>terça-feira</v>
      </c>
      <c r="C333" s="13">
        <v>50982.68</v>
      </c>
      <c r="D333" s="16">
        <v>1964</v>
      </c>
      <c r="E333" s="4">
        <f t="shared" si="36"/>
        <v>25.95859470468432</v>
      </c>
      <c r="F333" s="3">
        <f t="shared" si="37"/>
        <v>10</v>
      </c>
      <c r="G333" s="3">
        <f t="shared" si="38"/>
        <v>2025</v>
      </c>
      <c r="H333" s="6" t="str">
        <f>IF(A333&lt;&gt;" ",G333&amp;"-"&amp;F333&amp;"-"&amp;COUNTIFS($G$2:G333,G333,$F$2:F333,F333)," ")</f>
        <v>2025-10-28</v>
      </c>
    </row>
    <row r="334" spans="1:8" x14ac:dyDescent="0.25">
      <c r="A334" s="11">
        <v>45959</v>
      </c>
      <c r="B334" s="3" t="str">
        <f t="shared" si="35"/>
        <v>quarta-feira</v>
      </c>
      <c r="C334" s="13">
        <v>51271.47</v>
      </c>
      <c r="D334" s="16">
        <v>1996</v>
      </c>
      <c r="E334" s="4">
        <f t="shared" si="36"/>
        <v>25.687109218436873</v>
      </c>
      <c r="F334" s="3">
        <f t="shared" si="37"/>
        <v>10</v>
      </c>
      <c r="G334" s="3">
        <f t="shared" si="38"/>
        <v>2025</v>
      </c>
      <c r="H334" s="6" t="str">
        <f>IF(A334&lt;&gt;" ",G334&amp;"-"&amp;F334&amp;"-"&amp;COUNTIFS($G$2:G334,G334,$F$2:F334,F334)," ")</f>
        <v>2025-10-29</v>
      </c>
    </row>
    <row r="335" spans="1:8" x14ac:dyDescent="0.25">
      <c r="A335" s="11">
        <v>45960</v>
      </c>
      <c r="B335" s="3" t="str">
        <f t="shared" si="35"/>
        <v>quinta-feira</v>
      </c>
      <c r="C335" s="13">
        <v>46173.46</v>
      </c>
      <c r="D335" s="16">
        <v>1784</v>
      </c>
      <c r="E335" s="4">
        <f t="shared" si="36"/>
        <v>25.881984304932736</v>
      </c>
      <c r="F335" s="3">
        <f t="shared" si="37"/>
        <v>10</v>
      </c>
      <c r="G335" s="3">
        <f t="shared" si="38"/>
        <v>2025</v>
      </c>
      <c r="H335" s="6" t="str">
        <f>IF(A335&lt;&gt;" ",G335&amp;"-"&amp;F335&amp;"-"&amp;COUNTIFS($G$2:G335,G335,$F$2:F335,F335)," ")</f>
        <v>2025-10-30</v>
      </c>
    </row>
    <row r="336" spans="1:8" x14ac:dyDescent="0.25">
      <c r="A336" s="11">
        <v>45961</v>
      </c>
      <c r="B336" s="3" t="str">
        <f t="shared" si="35"/>
        <v>sexta-feira</v>
      </c>
      <c r="C336" s="13">
        <v>57256.39</v>
      </c>
      <c r="D336" s="16">
        <v>1855</v>
      </c>
      <c r="E336" s="4">
        <f t="shared" si="36"/>
        <v>30.865978436657681</v>
      </c>
      <c r="F336" s="3">
        <f t="shared" si="37"/>
        <v>10</v>
      </c>
      <c r="G336" s="3">
        <f t="shared" si="38"/>
        <v>2025</v>
      </c>
      <c r="H336" s="6" t="str">
        <f>IF(A336&lt;&gt;" ",G336&amp;"-"&amp;F336&amp;"-"&amp;COUNTIFS($G$2:G336,G336,$F$2:F336,F336)," ")</f>
        <v>2025-10-31</v>
      </c>
    </row>
    <row r="337" spans="1:8" x14ac:dyDescent="0.25">
      <c r="A337" s="11">
        <v>45962</v>
      </c>
      <c r="B337" s="3" t="str">
        <f t="shared" si="35"/>
        <v>sábado</v>
      </c>
      <c r="C337" s="13">
        <v>56801.71</v>
      </c>
      <c r="D337" s="16">
        <v>1861</v>
      </c>
      <c r="E337" s="4">
        <f t="shared" si="36"/>
        <v>30.522144008597529</v>
      </c>
      <c r="F337" s="3">
        <f t="shared" si="37"/>
        <v>11</v>
      </c>
      <c r="G337" s="3">
        <f t="shared" si="38"/>
        <v>2025</v>
      </c>
      <c r="H337" s="6" t="str">
        <f>IF(A337&lt;&gt;" ",G337&amp;"-"&amp;F337&amp;"-"&amp;COUNTIFS($G$2:G337,G337,$F$2:F337,F337)," ")</f>
        <v>2025-11-1</v>
      </c>
    </row>
    <row r="338" spans="1:8" x14ac:dyDescent="0.25">
      <c r="A338" s="11">
        <v>45963</v>
      </c>
      <c r="B338" s="3" t="str">
        <f t="shared" si="35"/>
        <v>domingo</v>
      </c>
      <c r="C338" s="13">
        <v>17151.37</v>
      </c>
      <c r="D338" s="16">
        <v>759</v>
      </c>
      <c r="E338" s="4">
        <f t="shared" si="36"/>
        <v>22.597325428194992</v>
      </c>
      <c r="F338" s="3">
        <f t="shared" si="37"/>
        <v>11</v>
      </c>
      <c r="G338" s="3">
        <f t="shared" si="38"/>
        <v>2025</v>
      </c>
      <c r="H338" s="6" t="str">
        <f>IF(A338&lt;&gt;" ",G338&amp;"-"&amp;F338&amp;"-"&amp;COUNTIFS($G$2:G338,G338,$F$2:F338,F338)," ")</f>
        <v>2025-11-2</v>
      </c>
    </row>
    <row r="339" spans="1:8" x14ac:dyDescent="0.25">
      <c r="A339" s="11">
        <v>45964</v>
      </c>
      <c r="B339" s="3" t="str">
        <f t="shared" si="35"/>
        <v>segunda-feira</v>
      </c>
      <c r="C339" s="13">
        <v>47598.11</v>
      </c>
      <c r="D339" s="16">
        <v>1751</v>
      </c>
      <c r="E339" s="4">
        <f t="shared" si="36"/>
        <v>27.183386636207882</v>
      </c>
      <c r="F339" s="3">
        <f t="shared" si="37"/>
        <v>11</v>
      </c>
      <c r="G339" s="3">
        <f t="shared" si="38"/>
        <v>2025</v>
      </c>
      <c r="H339" s="6" t="str">
        <f>IF(A339&lt;&gt;" ",G339&amp;"-"&amp;F339&amp;"-"&amp;COUNTIFS($G$2:G339,G339,$F$2:F339,F339)," ")</f>
        <v>2025-11-3</v>
      </c>
    </row>
    <row r="340" spans="1:8" x14ac:dyDescent="0.25">
      <c r="A340" s="11">
        <v>45965</v>
      </c>
      <c r="B340" s="3" t="str">
        <f t="shared" si="35"/>
        <v>terça-feira</v>
      </c>
      <c r="C340" s="13">
        <v>56044.44</v>
      </c>
      <c r="D340" s="16">
        <v>1982</v>
      </c>
      <c r="E340" s="4">
        <f t="shared" si="36"/>
        <v>28.27671039354188</v>
      </c>
      <c r="F340" s="3">
        <f t="shared" si="37"/>
        <v>11</v>
      </c>
      <c r="G340" s="3">
        <f t="shared" si="38"/>
        <v>2025</v>
      </c>
      <c r="H340" s="6" t="str">
        <f>IF(A340&lt;&gt;" ",G340&amp;"-"&amp;F340&amp;"-"&amp;COUNTIFS($G$2:G340,G340,$F$2:F340,F340)," ")</f>
        <v>2025-11-4</v>
      </c>
    </row>
    <row r="341" spans="1:8" x14ac:dyDescent="0.25">
      <c r="A341" s="11">
        <v>45966</v>
      </c>
      <c r="B341" s="3" t="str">
        <f t="shared" si="35"/>
        <v>quarta-feira</v>
      </c>
      <c r="C341" s="13">
        <v>54891.24</v>
      </c>
      <c r="D341" s="16">
        <v>2065</v>
      </c>
      <c r="E341" s="4">
        <f t="shared" si="36"/>
        <v>26.581714285714284</v>
      </c>
      <c r="F341" s="3">
        <f t="shared" si="37"/>
        <v>11</v>
      </c>
      <c r="G341" s="3">
        <f t="shared" si="38"/>
        <v>2025</v>
      </c>
      <c r="H341" s="6" t="str">
        <f>IF(A341&lt;&gt;" ",G341&amp;"-"&amp;F341&amp;"-"&amp;COUNTIFS($G$2:G341,G341,$F$2:F341,F341)," ")</f>
        <v>2025-11-5</v>
      </c>
    </row>
    <row r="342" spans="1:8" x14ac:dyDescent="0.25">
      <c r="A342" s="11">
        <v>45967</v>
      </c>
      <c r="B342" s="3" t="str">
        <f t="shared" si="35"/>
        <v>quinta-feira</v>
      </c>
      <c r="C342" s="13">
        <v>47820.35</v>
      </c>
      <c r="D342" s="16">
        <v>1824</v>
      </c>
      <c r="E342" s="4">
        <f t="shared" si="36"/>
        <v>26.217297149122807</v>
      </c>
      <c r="F342" s="3">
        <f t="shared" si="37"/>
        <v>11</v>
      </c>
      <c r="G342" s="3">
        <f t="shared" si="38"/>
        <v>2025</v>
      </c>
      <c r="H342" s="6" t="str">
        <f>IF(A342&lt;&gt;" ",G342&amp;"-"&amp;F342&amp;"-"&amp;COUNTIFS($G$2:G342,G342,$F$2:F342,F342)," ")</f>
        <v>2025-11-6</v>
      </c>
    </row>
    <row r="343" spans="1:8" x14ac:dyDescent="0.25">
      <c r="A343" s="11">
        <v>45968</v>
      </c>
      <c r="B343" s="3" t="str">
        <f t="shared" si="35"/>
        <v>sexta-feira</v>
      </c>
      <c r="C343" s="13">
        <v>66455.039999999994</v>
      </c>
      <c r="D343" s="16">
        <v>2346</v>
      </c>
      <c r="E343" s="4">
        <f t="shared" si="36"/>
        <v>28.326956521739127</v>
      </c>
      <c r="F343" s="3">
        <f t="shared" si="37"/>
        <v>11</v>
      </c>
      <c r="G343" s="3">
        <f t="shared" si="38"/>
        <v>2025</v>
      </c>
      <c r="H343" s="6" t="str">
        <f>IF(A343&lt;&gt;" ",G343&amp;"-"&amp;F343&amp;"-"&amp;COUNTIFS($G$2:G343,G343,$F$2:F343,F343)," ")</f>
        <v>2025-11-7</v>
      </c>
    </row>
    <row r="344" spans="1:8" x14ac:dyDescent="0.25">
      <c r="A344" s="11">
        <v>45969</v>
      </c>
      <c r="B344" s="3" t="str">
        <f t="shared" si="35"/>
        <v>sábado</v>
      </c>
      <c r="C344" s="13">
        <v>49101.23</v>
      </c>
      <c r="D344" s="16">
        <v>1788</v>
      </c>
      <c r="E344" s="4">
        <f t="shared" si="36"/>
        <v>27.461538031319911</v>
      </c>
      <c r="F344" s="3">
        <f t="shared" si="37"/>
        <v>11</v>
      </c>
      <c r="G344" s="3">
        <f t="shared" si="38"/>
        <v>2025</v>
      </c>
      <c r="H344" s="6" t="str">
        <f>IF(A344&lt;&gt;" ",G344&amp;"-"&amp;F344&amp;"-"&amp;COUNTIFS($G$2:G344,G344,$F$2:F344,F344)," ")</f>
        <v>2025-11-8</v>
      </c>
    </row>
    <row r="345" spans="1:8" x14ac:dyDescent="0.25">
      <c r="A345" s="11">
        <v>45970</v>
      </c>
      <c r="B345" s="3" t="str">
        <f t="shared" ref="B345:B408" si="39">IF(A345&lt;&gt;" ",TEXT(A345,"dddd")," ")</f>
        <v>domingo</v>
      </c>
      <c r="C345" s="13">
        <v>19549.669999999998</v>
      </c>
      <c r="D345" s="16">
        <v>781</v>
      </c>
      <c r="E345" s="4">
        <f t="shared" ref="E345:E408" si="40">IF(D345&gt;0,C345/D345," ")</f>
        <v>25.031587708066578</v>
      </c>
      <c r="F345" s="3">
        <f t="shared" ref="F345:F408" si="41">IF(A345&lt;&gt;" ",MONTH(A345)," ")</f>
        <v>11</v>
      </c>
      <c r="G345" s="3">
        <f t="shared" ref="G345:G408" si="42">IF(A345&lt;&gt;" ",YEAR(A345)," ")</f>
        <v>2025</v>
      </c>
      <c r="H345" s="6" t="str">
        <f>IF(A345&lt;&gt;" ",G345&amp;"-"&amp;F345&amp;"-"&amp;COUNTIFS($G$2:G345,G345,$F$2:F345,F345)," ")</f>
        <v>2025-11-9</v>
      </c>
    </row>
    <row r="346" spans="1:8" x14ac:dyDescent="0.25">
      <c r="A346" s="11">
        <v>45971</v>
      </c>
      <c r="B346" s="3" t="str">
        <f t="shared" si="39"/>
        <v>segunda-feira</v>
      </c>
      <c r="C346" s="13">
        <v>53461.03</v>
      </c>
      <c r="D346" s="16">
        <v>2031</v>
      </c>
      <c r="E346" s="4">
        <f t="shared" si="40"/>
        <v>26.322516001969472</v>
      </c>
      <c r="F346" s="3">
        <f t="shared" si="41"/>
        <v>11</v>
      </c>
      <c r="G346" s="3">
        <f t="shared" si="42"/>
        <v>2025</v>
      </c>
      <c r="H346" s="6" t="str">
        <f>IF(A346&lt;&gt;" ",G346&amp;"-"&amp;F346&amp;"-"&amp;COUNTIFS($G$2:G346,G346,$F$2:F346,F346)," ")</f>
        <v>2025-11-10</v>
      </c>
    </row>
    <row r="347" spans="1:8" x14ac:dyDescent="0.25">
      <c r="A347" s="11">
        <v>45972</v>
      </c>
      <c r="B347" s="3" t="str">
        <f t="shared" si="39"/>
        <v>terça-feira</v>
      </c>
      <c r="C347" s="13">
        <v>48652.27</v>
      </c>
      <c r="D347" s="16">
        <v>1952</v>
      </c>
      <c r="E347" s="4">
        <f t="shared" si="40"/>
        <v>24.924318647540982</v>
      </c>
      <c r="F347" s="3">
        <f t="shared" si="41"/>
        <v>11</v>
      </c>
      <c r="G347" s="3">
        <f t="shared" si="42"/>
        <v>2025</v>
      </c>
      <c r="H347" s="6" t="str">
        <f>IF(A347&lt;&gt;" ",G347&amp;"-"&amp;F347&amp;"-"&amp;COUNTIFS($G$2:G347,G347,$F$2:F347,F347)," ")</f>
        <v>2025-11-11</v>
      </c>
    </row>
    <row r="348" spans="1:8" x14ac:dyDescent="0.25">
      <c r="A348" s="11">
        <v>45973</v>
      </c>
      <c r="B348" s="3" t="str">
        <f t="shared" si="39"/>
        <v>quarta-feira</v>
      </c>
      <c r="C348" s="13">
        <v>45665.42</v>
      </c>
      <c r="D348" s="16">
        <v>1962</v>
      </c>
      <c r="E348" s="4">
        <f t="shared" si="40"/>
        <v>23.274933741080527</v>
      </c>
      <c r="F348" s="3">
        <f t="shared" si="41"/>
        <v>11</v>
      </c>
      <c r="G348" s="3">
        <f t="shared" si="42"/>
        <v>2025</v>
      </c>
      <c r="H348" s="6" t="str">
        <f>IF(A348&lt;&gt;" ",G348&amp;"-"&amp;F348&amp;"-"&amp;COUNTIFS($G$2:G348,G348,$F$2:F348,F348)," ")</f>
        <v>2025-11-12</v>
      </c>
    </row>
    <row r="349" spans="1:8" x14ac:dyDescent="0.25">
      <c r="A349" s="11">
        <v>45974</v>
      </c>
      <c r="B349" s="3" t="str">
        <f t="shared" si="39"/>
        <v>quinta-feira</v>
      </c>
      <c r="C349" s="13">
        <v>57011.47</v>
      </c>
      <c r="D349" s="16">
        <v>1999</v>
      </c>
      <c r="E349" s="4">
        <f t="shared" si="40"/>
        <v>28.519994997498749</v>
      </c>
      <c r="F349" s="3">
        <f t="shared" si="41"/>
        <v>11</v>
      </c>
      <c r="G349" s="3">
        <f t="shared" si="42"/>
        <v>2025</v>
      </c>
      <c r="H349" s="6" t="str">
        <f>IF(A349&lt;&gt;" ",G349&amp;"-"&amp;F349&amp;"-"&amp;COUNTIFS($G$2:G349,G349,$F$2:F349,F349)," ")</f>
        <v>2025-11-13</v>
      </c>
    </row>
    <row r="350" spans="1:8" x14ac:dyDescent="0.25">
      <c r="A350" s="11">
        <v>45975</v>
      </c>
      <c r="B350" s="3" t="str">
        <f t="shared" si="39"/>
        <v>sexta-feira</v>
      </c>
      <c r="C350" s="13">
        <v>60862.86</v>
      </c>
      <c r="D350" s="16">
        <v>2131</v>
      </c>
      <c r="E350" s="4">
        <f t="shared" si="40"/>
        <v>28.56070389488503</v>
      </c>
      <c r="F350" s="3">
        <f t="shared" si="41"/>
        <v>11</v>
      </c>
      <c r="G350" s="3">
        <f t="shared" si="42"/>
        <v>2025</v>
      </c>
      <c r="H350" s="6" t="str">
        <f>IF(A350&lt;&gt;" ",G350&amp;"-"&amp;F350&amp;"-"&amp;COUNTIFS($G$2:G350,G350,$F$2:F350,F350)," ")</f>
        <v>2025-11-14</v>
      </c>
    </row>
    <row r="351" spans="1:8" x14ac:dyDescent="0.25">
      <c r="A351" s="11">
        <v>45976</v>
      </c>
      <c r="B351" s="3" t="str">
        <f t="shared" si="39"/>
        <v>sábado</v>
      </c>
      <c r="C351" s="13">
        <v>35539.83</v>
      </c>
      <c r="D351" s="16">
        <v>1255</v>
      </c>
      <c r="E351" s="4">
        <f t="shared" si="40"/>
        <v>28.318589641434265</v>
      </c>
      <c r="F351" s="3">
        <f t="shared" si="41"/>
        <v>11</v>
      </c>
      <c r="G351" s="3">
        <f t="shared" si="42"/>
        <v>2025</v>
      </c>
      <c r="H351" s="6" t="str">
        <f>IF(A351&lt;&gt;" ",G351&amp;"-"&amp;F351&amp;"-"&amp;COUNTIFS($G$2:G351,G351,$F$2:F351,F351)," ")</f>
        <v>2025-11-15</v>
      </c>
    </row>
    <row r="352" spans="1:8" x14ac:dyDescent="0.25">
      <c r="A352" s="11">
        <v>45977</v>
      </c>
      <c r="B352" s="3" t="str">
        <f t="shared" si="39"/>
        <v>domingo</v>
      </c>
      <c r="C352" s="13">
        <v>19715.28</v>
      </c>
      <c r="D352" s="16">
        <v>857</v>
      </c>
      <c r="E352" s="4">
        <f t="shared" si="40"/>
        <v>23.004994165694281</v>
      </c>
      <c r="F352" s="3">
        <f t="shared" si="41"/>
        <v>11</v>
      </c>
      <c r="G352" s="3">
        <f t="shared" si="42"/>
        <v>2025</v>
      </c>
      <c r="H352" s="6" t="str">
        <f>IF(A352&lt;&gt;" ",G352&amp;"-"&amp;F352&amp;"-"&amp;COUNTIFS($G$2:G352,G352,$F$2:F352,F352)," ")</f>
        <v>2025-11-16</v>
      </c>
    </row>
    <row r="353" spans="1:8" x14ac:dyDescent="0.25">
      <c r="A353" s="11">
        <v>45978</v>
      </c>
      <c r="B353" s="3" t="str">
        <f t="shared" si="39"/>
        <v>segunda-feira</v>
      </c>
      <c r="C353" s="13">
        <v>50947.09</v>
      </c>
      <c r="D353" s="16">
        <v>2050</v>
      </c>
      <c r="E353" s="4">
        <f t="shared" si="40"/>
        <v>24.852239024390244</v>
      </c>
      <c r="F353" s="3">
        <f t="shared" si="41"/>
        <v>11</v>
      </c>
      <c r="G353" s="3">
        <f t="shared" si="42"/>
        <v>2025</v>
      </c>
      <c r="H353" s="6" t="str">
        <f>IF(A353&lt;&gt;" ",G353&amp;"-"&amp;F353&amp;"-"&amp;COUNTIFS($G$2:G353,G353,$F$2:F353,F353)," ")</f>
        <v>2025-11-17</v>
      </c>
    </row>
    <row r="354" spans="1:8" x14ac:dyDescent="0.25">
      <c r="A354" s="11">
        <v>45979</v>
      </c>
      <c r="B354" s="3" t="str">
        <f t="shared" si="39"/>
        <v>terça-feira</v>
      </c>
      <c r="C354" s="13">
        <v>51418.55</v>
      </c>
      <c r="D354" s="16">
        <v>2134</v>
      </c>
      <c r="E354" s="4">
        <f t="shared" si="40"/>
        <v>24.094915651358953</v>
      </c>
      <c r="F354" s="3">
        <f t="shared" si="41"/>
        <v>11</v>
      </c>
      <c r="G354" s="3">
        <f t="shared" si="42"/>
        <v>2025</v>
      </c>
      <c r="H354" s="6" t="str">
        <f>IF(A354&lt;&gt;" ",G354&amp;"-"&amp;F354&amp;"-"&amp;COUNTIFS($G$2:G354,G354,$F$2:F354,F354)," ")</f>
        <v>2025-11-18</v>
      </c>
    </row>
    <row r="355" spans="1:8" x14ac:dyDescent="0.25">
      <c r="A355" s="11">
        <v>45980</v>
      </c>
      <c r="B355" s="3" t="str">
        <f t="shared" si="39"/>
        <v>quarta-feira</v>
      </c>
      <c r="C355" s="13">
        <v>60064.03</v>
      </c>
      <c r="D355" s="16">
        <v>2265</v>
      </c>
      <c r="E355" s="4">
        <f t="shared" si="40"/>
        <v>26.518335540838851</v>
      </c>
      <c r="F355" s="3">
        <f t="shared" si="41"/>
        <v>11</v>
      </c>
      <c r="G355" s="3">
        <f t="shared" si="42"/>
        <v>2025</v>
      </c>
      <c r="H355" s="6" t="str">
        <f>IF(A355&lt;&gt;" ",G355&amp;"-"&amp;F355&amp;"-"&amp;COUNTIFS($G$2:G355,G355,$F$2:F355,F355)," ")</f>
        <v>2025-11-19</v>
      </c>
    </row>
    <row r="356" spans="1:8" x14ac:dyDescent="0.25">
      <c r="A356" s="11">
        <v>45981</v>
      </c>
      <c r="B356" s="3" t="str">
        <f t="shared" si="39"/>
        <v>quinta-feira</v>
      </c>
      <c r="C356" s="13">
        <v>19466.400000000001</v>
      </c>
      <c r="D356" s="16">
        <v>793</v>
      </c>
      <c r="E356" s="4">
        <f t="shared" si="40"/>
        <v>24.547793190416144</v>
      </c>
      <c r="F356" s="3">
        <f t="shared" si="41"/>
        <v>11</v>
      </c>
      <c r="G356" s="3">
        <f t="shared" si="42"/>
        <v>2025</v>
      </c>
      <c r="H356" s="6" t="str">
        <f>IF(A356&lt;&gt;" ",G356&amp;"-"&amp;F356&amp;"-"&amp;COUNTIFS($G$2:G356,G356,$F$2:F356,F356)," ")</f>
        <v>2025-11-20</v>
      </c>
    </row>
    <row r="357" spans="1:8" x14ac:dyDescent="0.25">
      <c r="A357" s="11">
        <v>45982</v>
      </c>
      <c r="B357" s="3" t="str">
        <f t="shared" si="39"/>
        <v>sexta-feira</v>
      </c>
      <c r="C357" s="13">
        <v>46762.16</v>
      </c>
      <c r="D357" s="16">
        <v>1886</v>
      </c>
      <c r="E357" s="4">
        <f t="shared" si="40"/>
        <v>24.794358430540829</v>
      </c>
      <c r="F357" s="3">
        <f t="shared" si="41"/>
        <v>11</v>
      </c>
      <c r="G357" s="3">
        <f t="shared" si="42"/>
        <v>2025</v>
      </c>
      <c r="H357" s="6" t="str">
        <f>IF(A357&lt;&gt;" ",G357&amp;"-"&amp;F357&amp;"-"&amp;COUNTIFS($G$2:G357,G357,$F$2:F357,F357)," ")</f>
        <v>2025-11-21</v>
      </c>
    </row>
    <row r="358" spans="1:8" x14ac:dyDescent="0.25">
      <c r="A358" s="11">
        <v>45983</v>
      </c>
      <c r="B358" s="3" t="str">
        <f t="shared" si="39"/>
        <v>sábado</v>
      </c>
      <c r="C358" s="13">
        <v>45112.68</v>
      </c>
      <c r="D358" s="16">
        <v>1748</v>
      </c>
      <c r="E358" s="4">
        <f t="shared" si="40"/>
        <v>25.808169336384438</v>
      </c>
      <c r="F358" s="3">
        <f t="shared" si="41"/>
        <v>11</v>
      </c>
      <c r="G358" s="3">
        <f t="shared" si="42"/>
        <v>2025</v>
      </c>
      <c r="H358" s="6" t="str">
        <f>IF(A358&lt;&gt;" ",G358&amp;"-"&amp;F358&amp;"-"&amp;COUNTIFS($G$2:G358,G358,$F$2:F358,F358)," ")</f>
        <v>2025-11-22</v>
      </c>
    </row>
    <row r="359" spans="1:8" x14ac:dyDescent="0.25">
      <c r="A359" s="11">
        <v>45984</v>
      </c>
      <c r="B359" s="3" t="str">
        <f t="shared" si="39"/>
        <v>domingo</v>
      </c>
      <c r="C359" s="13">
        <v>14705.36</v>
      </c>
      <c r="D359" s="16">
        <v>704</v>
      </c>
      <c r="E359" s="4">
        <f t="shared" si="40"/>
        <v>20.888295454545457</v>
      </c>
      <c r="F359" s="3">
        <f t="shared" si="41"/>
        <v>11</v>
      </c>
      <c r="G359" s="3">
        <f t="shared" si="42"/>
        <v>2025</v>
      </c>
      <c r="H359" s="6" t="str">
        <f>IF(A359&lt;&gt;" ",G359&amp;"-"&amp;F359&amp;"-"&amp;COUNTIFS($G$2:G359,G359,$F$2:F359,F359)," ")</f>
        <v>2025-11-23</v>
      </c>
    </row>
    <row r="360" spans="1:8" x14ac:dyDescent="0.25">
      <c r="A360" s="11">
        <v>45985</v>
      </c>
      <c r="B360" s="3" t="str">
        <f t="shared" si="39"/>
        <v>segunda-feira</v>
      </c>
      <c r="C360" s="13">
        <v>49542.47</v>
      </c>
      <c r="D360" s="16">
        <v>1915</v>
      </c>
      <c r="E360" s="4">
        <f t="shared" si="40"/>
        <v>25.870741514360315</v>
      </c>
      <c r="F360" s="3">
        <f t="shared" si="41"/>
        <v>11</v>
      </c>
      <c r="G360" s="3">
        <f t="shared" si="42"/>
        <v>2025</v>
      </c>
      <c r="H360" s="6" t="str">
        <f>IF(A360&lt;&gt;" ",G360&amp;"-"&amp;F360&amp;"-"&amp;COUNTIFS($G$2:G360,G360,$F$2:F360,F360)," ")</f>
        <v>2025-11-24</v>
      </c>
    </row>
    <row r="361" spans="1:8" x14ac:dyDescent="0.25">
      <c r="A361" s="11">
        <v>45986</v>
      </c>
      <c r="B361" s="3" t="str">
        <f t="shared" si="39"/>
        <v>terça-feira</v>
      </c>
      <c r="C361" s="13">
        <v>53809.13</v>
      </c>
      <c r="D361" s="16">
        <v>2109</v>
      </c>
      <c r="E361" s="4">
        <f t="shared" si="40"/>
        <v>25.514049312470362</v>
      </c>
      <c r="F361" s="3">
        <f t="shared" si="41"/>
        <v>11</v>
      </c>
      <c r="G361" s="3">
        <f t="shared" si="42"/>
        <v>2025</v>
      </c>
      <c r="H361" s="6" t="str">
        <f>IF(A361&lt;&gt;" ",G361&amp;"-"&amp;F361&amp;"-"&amp;COUNTIFS($G$2:G361,G361,$F$2:F361,F361)," ")</f>
        <v>2025-11-25</v>
      </c>
    </row>
    <row r="362" spans="1:8" x14ac:dyDescent="0.25">
      <c r="A362" s="11">
        <v>45987</v>
      </c>
      <c r="B362" s="3" t="str">
        <f t="shared" si="39"/>
        <v>quarta-feira</v>
      </c>
      <c r="C362" s="13">
        <v>57136.19</v>
      </c>
      <c r="D362" s="16">
        <v>2193</v>
      </c>
      <c r="E362" s="4">
        <f t="shared" si="40"/>
        <v>26.05389420884633</v>
      </c>
      <c r="F362" s="3">
        <f t="shared" si="41"/>
        <v>11</v>
      </c>
      <c r="G362" s="3">
        <f t="shared" si="42"/>
        <v>2025</v>
      </c>
      <c r="H362" s="6" t="str">
        <f>IF(A362&lt;&gt;" ",G362&amp;"-"&amp;F362&amp;"-"&amp;COUNTIFS($G$2:G362,G362,$F$2:F362,F362)," ")</f>
        <v>2025-11-26</v>
      </c>
    </row>
    <row r="363" spans="1:8" x14ac:dyDescent="0.25">
      <c r="A363" s="11">
        <v>45988</v>
      </c>
      <c r="B363" s="3" t="str">
        <f t="shared" si="39"/>
        <v>quinta-feira</v>
      </c>
      <c r="C363" s="13">
        <v>95723.56</v>
      </c>
      <c r="D363" s="16">
        <v>2593</v>
      </c>
      <c r="E363" s="4">
        <f t="shared" si="40"/>
        <v>36.916143463170073</v>
      </c>
      <c r="F363" s="3">
        <f t="shared" si="41"/>
        <v>11</v>
      </c>
      <c r="G363" s="3">
        <f t="shared" si="42"/>
        <v>2025</v>
      </c>
      <c r="H363" s="6" t="str">
        <f>IF(A363&lt;&gt;" ",G363&amp;"-"&amp;F363&amp;"-"&amp;COUNTIFS($G$2:G363,G363,$F$2:F363,F363)," ")</f>
        <v>2025-11-27</v>
      </c>
    </row>
    <row r="364" spans="1:8" x14ac:dyDescent="0.25">
      <c r="A364" s="11">
        <v>45989</v>
      </c>
      <c r="B364" s="3" t="str">
        <f t="shared" si="39"/>
        <v>sexta-feira</v>
      </c>
      <c r="C364" s="13">
        <v>77316.95</v>
      </c>
      <c r="D364" s="16">
        <v>2550</v>
      </c>
      <c r="E364" s="4">
        <f t="shared" si="40"/>
        <v>30.320372549019606</v>
      </c>
      <c r="F364" s="3">
        <f t="shared" si="41"/>
        <v>11</v>
      </c>
      <c r="G364" s="3">
        <f t="shared" si="42"/>
        <v>2025</v>
      </c>
      <c r="H364" s="6" t="str">
        <f>IF(A364&lt;&gt;" ",G364&amp;"-"&amp;F364&amp;"-"&amp;COUNTIFS($G$2:G364,G364,$F$2:F364,F364)," ")</f>
        <v>2025-11-28</v>
      </c>
    </row>
    <row r="365" spans="1:8" x14ac:dyDescent="0.25">
      <c r="A365" s="11">
        <v>45990</v>
      </c>
      <c r="B365" s="3" t="str">
        <f t="shared" si="39"/>
        <v>sábado</v>
      </c>
      <c r="C365" s="13">
        <v>52814.76</v>
      </c>
      <c r="D365" s="16">
        <v>1871</v>
      </c>
      <c r="E365" s="4">
        <f t="shared" si="40"/>
        <v>28.228091929449494</v>
      </c>
      <c r="F365" s="3">
        <f t="shared" si="41"/>
        <v>11</v>
      </c>
      <c r="G365" s="3">
        <f t="shared" si="42"/>
        <v>2025</v>
      </c>
      <c r="H365" s="6" t="str">
        <f>IF(A365&lt;&gt;" ",G365&amp;"-"&amp;F365&amp;"-"&amp;COUNTIFS($G$2:G365,G365,$F$2:F365,F365)," ")</f>
        <v>2025-11-29</v>
      </c>
    </row>
    <row r="366" spans="1:8" x14ac:dyDescent="0.25">
      <c r="A366" s="11">
        <v>45991</v>
      </c>
      <c r="B366" s="3" t="str">
        <f t="shared" si="39"/>
        <v>domingo</v>
      </c>
      <c r="C366" s="13">
        <v>18457.599999999999</v>
      </c>
      <c r="D366" s="16">
        <v>838</v>
      </c>
      <c r="E366" s="4">
        <f t="shared" si="40"/>
        <v>22.02577565632458</v>
      </c>
      <c r="F366" s="3">
        <f t="shared" si="41"/>
        <v>11</v>
      </c>
      <c r="G366" s="3">
        <f t="shared" si="42"/>
        <v>2025</v>
      </c>
      <c r="H366" s="6" t="str">
        <f>IF(A366&lt;&gt;" ",G366&amp;"-"&amp;F366&amp;"-"&amp;COUNTIFS($G$2:G366,G366,$F$2:F366,F366)," ")</f>
        <v>2025-11-30</v>
      </c>
    </row>
    <row r="367" spans="1:8" x14ac:dyDescent="0.25">
      <c r="A367" s="11">
        <v>45992</v>
      </c>
      <c r="B367" s="3" t="str">
        <f t="shared" si="39"/>
        <v>segunda-feira</v>
      </c>
      <c r="C367" s="13">
        <v>48200.800000000003</v>
      </c>
      <c r="D367" s="16">
        <v>1913</v>
      </c>
      <c r="E367" s="4">
        <f t="shared" si="40"/>
        <v>25.196445373758497</v>
      </c>
      <c r="F367" s="3">
        <f t="shared" si="41"/>
        <v>12</v>
      </c>
      <c r="G367" s="3">
        <f t="shared" si="42"/>
        <v>2025</v>
      </c>
      <c r="H367" s="6" t="str">
        <f>IF(A367&lt;&gt;" ",G367&amp;"-"&amp;F367&amp;"-"&amp;COUNTIFS($G$2:G367,G367,$F$2:F367,F367)," ")</f>
        <v>2025-12-1</v>
      </c>
    </row>
    <row r="368" spans="1:8" x14ac:dyDescent="0.25">
      <c r="A368" s="11">
        <v>45993</v>
      </c>
      <c r="B368" s="3" t="str">
        <f t="shared" si="39"/>
        <v>terça-feira</v>
      </c>
      <c r="C368" s="13">
        <v>49296.32</v>
      </c>
      <c r="D368" s="16">
        <v>1892</v>
      </c>
      <c r="E368" s="4">
        <f t="shared" si="40"/>
        <v>26.055137420718815</v>
      </c>
      <c r="F368" s="3">
        <f t="shared" si="41"/>
        <v>12</v>
      </c>
      <c r="G368" s="3">
        <f t="shared" si="42"/>
        <v>2025</v>
      </c>
      <c r="H368" s="6" t="str">
        <f>IF(A368&lt;&gt;" ",G368&amp;"-"&amp;F368&amp;"-"&amp;COUNTIFS($G$2:G368,G368,$F$2:F368,F368)," ")</f>
        <v>2025-12-2</v>
      </c>
    </row>
    <row r="369" spans="1:8" x14ac:dyDescent="0.25">
      <c r="A369" s="11">
        <v>45994</v>
      </c>
      <c r="B369" s="3" t="str">
        <f t="shared" si="39"/>
        <v>quarta-feira</v>
      </c>
      <c r="C369" s="13">
        <v>51114.12</v>
      </c>
      <c r="D369" s="16">
        <v>1942</v>
      </c>
      <c r="E369" s="4">
        <f t="shared" si="40"/>
        <v>26.320350154479918</v>
      </c>
      <c r="F369" s="3">
        <f t="shared" si="41"/>
        <v>12</v>
      </c>
      <c r="G369" s="3">
        <f t="shared" si="42"/>
        <v>2025</v>
      </c>
      <c r="H369" s="6" t="str">
        <f>IF(A369&lt;&gt;" ",G369&amp;"-"&amp;F369&amp;"-"&amp;COUNTIFS($G$2:G369,G369,$F$2:F369,F369)," ")</f>
        <v>2025-12-3</v>
      </c>
    </row>
    <row r="370" spans="1:8" x14ac:dyDescent="0.25">
      <c r="A370" s="11">
        <v>45995</v>
      </c>
      <c r="B370" s="3" t="str">
        <f t="shared" si="39"/>
        <v>quinta-feira</v>
      </c>
      <c r="C370" s="13">
        <v>55261.97</v>
      </c>
      <c r="D370" s="16">
        <v>1916</v>
      </c>
      <c r="E370" s="4">
        <f t="shared" si="40"/>
        <v>28.842364300626304</v>
      </c>
      <c r="F370" s="3">
        <f t="shared" si="41"/>
        <v>12</v>
      </c>
      <c r="G370" s="3">
        <f t="shared" si="42"/>
        <v>2025</v>
      </c>
      <c r="H370" s="6" t="str">
        <f>IF(A370&lt;&gt;" ",G370&amp;"-"&amp;F370&amp;"-"&amp;COUNTIFS($G$2:G370,G370,$F$2:F370,F370)," ")</f>
        <v>2025-12-4</v>
      </c>
    </row>
    <row r="371" spans="1:8" x14ac:dyDescent="0.25">
      <c r="A371" s="11">
        <v>45996</v>
      </c>
      <c r="B371" s="3" t="str">
        <f t="shared" si="39"/>
        <v>sexta-feira</v>
      </c>
      <c r="C371" s="13">
        <v>56437.47</v>
      </c>
      <c r="D371" s="16">
        <v>2091</v>
      </c>
      <c r="E371" s="4">
        <f t="shared" si="40"/>
        <v>26.990659971305597</v>
      </c>
      <c r="F371" s="3">
        <f t="shared" si="41"/>
        <v>12</v>
      </c>
      <c r="G371" s="3">
        <f t="shared" si="42"/>
        <v>2025</v>
      </c>
      <c r="H371" s="6" t="str">
        <f>IF(A371&lt;&gt;" ",G371&amp;"-"&amp;F371&amp;"-"&amp;COUNTIFS($G$2:G371,G371,$F$2:F371,F371)," ")</f>
        <v>2025-12-5</v>
      </c>
    </row>
    <row r="372" spans="1:8" x14ac:dyDescent="0.25">
      <c r="A372" s="11">
        <v>45997</v>
      </c>
      <c r="B372" s="3" t="str">
        <f t="shared" si="39"/>
        <v>sábado</v>
      </c>
      <c r="C372" s="13">
        <v>48829.65</v>
      </c>
      <c r="D372" s="16">
        <v>1838</v>
      </c>
      <c r="E372" s="4">
        <f t="shared" si="40"/>
        <v>26.566730141458109</v>
      </c>
      <c r="F372" s="3">
        <f t="shared" si="41"/>
        <v>12</v>
      </c>
      <c r="G372" s="3">
        <f t="shared" si="42"/>
        <v>2025</v>
      </c>
      <c r="H372" s="6" t="str">
        <f>IF(A372&lt;&gt;" ",G372&amp;"-"&amp;F372&amp;"-"&amp;COUNTIFS($G$2:G372,G372,$F$2:F372,F372)," ")</f>
        <v>2025-12-6</v>
      </c>
    </row>
    <row r="373" spans="1:8" x14ac:dyDescent="0.25">
      <c r="A373" s="11">
        <v>45998</v>
      </c>
      <c r="B373" s="3" t="str">
        <f t="shared" si="39"/>
        <v>domingo</v>
      </c>
      <c r="C373" s="13">
        <v>17652.07</v>
      </c>
      <c r="D373" s="16">
        <v>839</v>
      </c>
      <c r="E373" s="4">
        <f t="shared" si="40"/>
        <v>21.039415971394519</v>
      </c>
      <c r="F373" s="3">
        <f t="shared" si="41"/>
        <v>12</v>
      </c>
      <c r="G373" s="3">
        <f t="shared" si="42"/>
        <v>2025</v>
      </c>
      <c r="H373" s="6" t="str">
        <f>IF(A373&lt;&gt;" ",G373&amp;"-"&amp;F373&amp;"-"&amp;COUNTIFS($G$2:G373,G373,$F$2:F373,F373)," ")</f>
        <v>2025-12-7</v>
      </c>
    </row>
    <row r="374" spans="1:8" x14ac:dyDescent="0.25">
      <c r="A374" s="11">
        <v>45999</v>
      </c>
      <c r="B374" s="3" t="str">
        <f t="shared" si="39"/>
        <v>segunda-feira</v>
      </c>
      <c r="C374" s="13">
        <v>74836.38</v>
      </c>
      <c r="D374" s="16">
        <v>2439</v>
      </c>
      <c r="E374" s="4">
        <f t="shared" si="40"/>
        <v>30.683222632226325</v>
      </c>
      <c r="F374" s="3">
        <f t="shared" si="41"/>
        <v>12</v>
      </c>
      <c r="G374" s="3">
        <f t="shared" si="42"/>
        <v>2025</v>
      </c>
      <c r="H374" s="6" t="str">
        <f>IF(A374&lt;&gt;" ",G374&amp;"-"&amp;F374&amp;"-"&amp;COUNTIFS($G$2:G374,G374,$F$2:F374,F374)," ")</f>
        <v>2025-12-8</v>
      </c>
    </row>
    <row r="375" spans="1:8" x14ac:dyDescent="0.25">
      <c r="A375" s="11">
        <v>46000</v>
      </c>
      <c r="B375" s="3" t="str">
        <f t="shared" si="39"/>
        <v>terça-feira</v>
      </c>
      <c r="C375" s="13">
        <v>47726.239999999998</v>
      </c>
      <c r="D375" s="16">
        <v>1977</v>
      </c>
      <c r="E375" s="4">
        <f t="shared" si="40"/>
        <v>24.140738492665655</v>
      </c>
      <c r="F375" s="3">
        <f t="shared" si="41"/>
        <v>12</v>
      </c>
      <c r="G375" s="3">
        <f t="shared" si="42"/>
        <v>2025</v>
      </c>
      <c r="H375" s="6" t="str">
        <f>IF(A375&lt;&gt;" ",G375&amp;"-"&amp;F375&amp;"-"&amp;COUNTIFS($G$2:G375,G375,$F$2:F375,F375)," ")</f>
        <v>2025-12-9</v>
      </c>
    </row>
    <row r="376" spans="1:8" x14ac:dyDescent="0.25">
      <c r="A376" s="11">
        <v>46001</v>
      </c>
      <c r="B376" s="3" t="str">
        <f t="shared" si="39"/>
        <v>quarta-feira</v>
      </c>
      <c r="C376" s="13">
        <v>41240.58</v>
      </c>
      <c r="D376" s="16">
        <v>1708</v>
      </c>
      <c r="E376" s="4">
        <f t="shared" si="40"/>
        <v>24.145538641686183</v>
      </c>
      <c r="F376" s="3">
        <f t="shared" si="41"/>
        <v>12</v>
      </c>
      <c r="G376" s="3">
        <f t="shared" si="42"/>
        <v>2025</v>
      </c>
      <c r="H376" s="6" t="str">
        <f>IF(A376&lt;&gt;" ",G376&amp;"-"&amp;F376&amp;"-"&amp;COUNTIFS($G$2:G376,G376,$F$2:F376,F376)," ")</f>
        <v>2025-12-10</v>
      </c>
    </row>
    <row r="377" spans="1:8" x14ac:dyDescent="0.25">
      <c r="A377" s="11">
        <v>46002</v>
      </c>
      <c r="B377" s="3" t="str">
        <f t="shared" si="39"/>
        <v>quinta-feira</v>
      </c>
      <c r="C377" s="13">
        <v>68423.360000000001</v>
      </c>
      <c r="D377" s="16">
        <v>2463</v>
      </c>
      <c r="E377" s="4">
        <f t="shared" si="40"/>
        <v>27.780495330897281</v>
      </c>
      <c r="F377" s="3">
        <f t="shared" si="41"/>
        <v>12</v>
      </c>
      <c r="G377" s="3">
        <f t="shared" si="42"/>
        <v>2025</v>
      </c>
      <c r="H377" s="6" t="str">
        <f>IF(A377&lt;&gt;" ",G377&amp;"-"&amp;F377&amp;"-"&amp;COUNTIFS($G$2:G377,G377,$F$2:F377,F377)," ")</f>
        <v>2025-12-11</v>
      </c>
    </row>
    <row r="378" spans="1:8" x14ac:dyDescent="0.25">
      <c r="A378" s="11">
        <v>46003</v>
      </c>
      <c r="B378" s="3" t="str">
        <f t="shared" si="39"/>
        <v>sexta-feira</v>
      </c>
      <c r="C378" s="13">
        <v>46893.120000000003</v>
      </c>
      <c r="D378" s="16">
        <v>1963</v>
      </c>
      <c r="E378" s="4">
        <f t="shared" si="40"/>
        <v>23.888497198166075</v>
      </c>
      <c r="F378" s="3">
        <f t="shared" si="41"/>
        <v>12</v>
      </c>
      <c r="G378" s="3">
        <f t="shared" si="42"/>
        <v>2025</v>
      </c>
      <c r="H378" s="6" t="str">
        <f>IF(A378&lt;&gt;" ",G378&amp;"-"&amp;F378&amp;"-"&amp;COUNTIFS($G$2:G378,G378,$F$2:F378,F378)," ")</f>
        <v>2025-12-12</v>
      </c>
    </row>
    <row r="379" spans="1:8" x14ac:dyDescent="0.25">
      <c r="A379" s="11">
        <v>46004</v>
      </c>
      <c r="B379" s="3" t="str">
        <f t="shared" si="39"/>
        <v>sábado</v>
      </c>
      <c r="C379" s="13">
        <v>46627.95</v>
      </c>
      <c r="D379" s="16">
        <v>1603</v>
      </c>
      <c r="E379" s="4">
        <f t="shared" si="40"/>
        <v>29.087928883343729</v>
      </c>
      <c r="F379" s="3">
        <f t="shared" si="41"/>
        <v>12</v>
      </c>
      <c r="G379" s="3">
        <f t="shared" si="42"/>
        <v>2025</v>
      </c>
      <c r="H379" s="6" t="str">
        <f>IF(A379&lt;&gt;" ",G379&amp;"-"&amp;F379&amp;"-"&amp;COUNTIFS($G$2:G379,G379,$F$2:F379,F379)," ")</f>
        <v>2025-12-13</v>
      </c>
    </row>
    <row r="380" spans="1:8" x14ac:dyDescent="0.25">
      <c r="A380" s="11">
        <v>46005</v>
      </c>
      <c r="B380" s="3" t="str">
        <f t="shared" si="39"/>
        <v>domingo</v>
      </c>
      <c r="C380" s="13">
        <v>19949.669999999998</v>
      </c>
      <c r="D380" s="16">
        <v>807</v>
      </c>
      <c r="E380" s="4">
        <f t="shared" si="40"/>
        <v>24.720780669144979</v>
      </c>
      <c r="F380" s="3">
        <f t="shared" si="41"/>
        <v>12</v>
      </c>
      <c r="G380" s="3">
        <f t="shared" si="42"/>
        <v>2025</v>
      </c>
      <c r="H380" s="6" t="str">
        <f>IF(A380&lt;&gt;" ",G380&amp;"-"&amp;F380&amp;"-"&amp;COUNTIFS($G$2:G380,G380,$F$2:F380,F380)," ")</f>
        <v>2025-12-14</v>
      </c>
    </row>
    <row r="381" spans="1:8" x14ac:dyDescent="0.25">
      <c r="A381" s="11">
        <v>46006</v>
      </c>
      <c r="B381" s="3" t="str">
        <f t="shared" si="39"/>
        <v>segunda-feira</v>
      </c>
      <c r="C381" s="13">
        <v>56711.46</v>
      </c>
      <c r="D381" s="16">
        <v>1987</v>
      </c>
      <c r="E381" s="4">
        <f t="shared" si="40"/>
        <v>28.541248112732763</v>
      </c>
      <c r="F381" s="3">
        <f t="shared" si="41"/>
        <v>12</v>
      </c>
      <c r="G381" s="3">
        <f t="shared" si="42"/>
        <v>2025</v>
      </c>
      <c r="H381" s="6" t="str">
        <f>IF(A381&lt;&gt;" ",G381&amp;"-"&amp;F381&amp;"-"&amp;COUNTIFS($G$2:G381,G381,$F$2:F381,F381)," ")</f>
        <v>2025-12-15</v>
      </c>
    </row>
    <row r="382" spans="1:8" x14ac:dyDescent="0.25">
      <c r="A382" s="11">
        <v>46007</v>
      </c>
      <c r="B382" s="3" t="str">
        <f t="shared" si="39"/>
        <v>terça-feira</v>
      </c>
      <c r="C382" s="13">
        <v>48932.25</v>
      </c>
      <c r="D382" s="16">
        <v>2012</v>
      </c>
      <c r="E382" s="4">
        <f t="shared" si="40"/>
        <v>24.320203777335983</v>
      </c>
      <c r="F382" s="3">
        <f t="shared" si="41"/>
        <v>12</v>
      </c>
      <c r="G382" s="3">
        <f t="shared" si="42"/>
        <v>2025</v>
      </c>
      <c r="H382" s="6" t="str">
        <f>IF(A382&lt;&gt;" ",G382&amp;"-"&amp;F382&amp;"-"&amp;COUNTIFS($G$2:G382,G382,$F$2:F382,F382)," ")</f>
        <v>2025-12-16</v>
      </c>
    </row>
    <row r="383" spans="1:8" x14ac:dyDescent="0.25">
      <c r="A383" s="11">
        <v>46008</v>
      </c>
      <c r="B383" s="3" t="str">
        <f t="shared" si="39"/>
        <v>quarta-feira</v>
      </c>
      <c r="C383" s="13">
        <v>26362.81</v>
      </c>
      <c r="D383" s="16">
        <v>882</v>
      </c>
      <c r="E383" s="4">
        <f t="shared" si="40"/>
        <v>29.88980725623583</v>
      </c>
      <c r="F383" s="3">
        <f t="shared" si="41"/>
        <v>12</v>
      </c>
      <c r="G383" s="3">
        <f t="shared" si="42"/>
        <v>2025</v>
      </c>
      <c r="H383" s="6" t="str">
        <f>IF(A383&lt;&gt;" ",G383&amp;"-"&amp;F383&amp;"-"&amp;COUNTIFS($G$2:G383,G383,$F$2:F383,F383)," ")</f>
        <v>2025-12-17</v>
      </c>
    </row>
    <row r="384" spans="1:8" x14ac:dyDescent="0.25">
      <c r="A384" s="11">
        <v>46009</v>
      </c>
      <c r="B384" s="3" t="str">
        <f t="shared" si="39"/>
        <v>quinta-feira</v>
      </c>
      <c r="C384" s="13">
        <v>75040.19</v>
      </c>
      <c r="D384" s="16">
        <v>2210</v>
      </c>
      <c r="E384" s="4">
        <f t="shared" si="40"/>
        <v>33.954837104072396</v>
      </c>
      <c r="F384" s="3">
        <f t="shared" si="41"/>
        <v>12</v>
      </c>
      <c r="G384" s="3">
        <f t="shared" si="42"/>
        <v>2025</v>
      </c>
      <c r="H384" s="6" t="str">
        <f>IF(A384&lt;&gt;" ",G384&amp;"-"&amp;F384&amp;"-"&amp;COUNTIFS($G$2:G384,G384,$F$2:F384,F384)," ")</f>
        <v>2025-12-18</v>
      </c>
    </row>
    <row r="385" spans="1:8" x14ac:dyDescent="0.25">
      <c r="A385" s="11">
        <v>46010</v>
      </c>
      <c r="B385" s="3" t="str">
        <f t="shared" si="39"/>
        <v>sexta-feira</v>
      </c>
      <c r="C385" s="13">
        <v>68983.8</v>
      </c>
      <c r="D385" s="16">
        <v>2054</v>
      </c>
      <c r="E385" s="4">
        <f t="shared" si="40"/>
        <v>33.585102239532624</v>
      </c>
      <c r="F385" s="3">
        <f t="shared" si="41"/>
        <v>12</v>
      </c>
      <c r="G385" s="3">
        <f t="shared" si="42"/>
        <v>2025</v>
      </c>
      <c r="H385" s="6" t="str">
        <f>IF(A385&lt;&gt;" ",G385&amp;"-"&amp;F385&amp;"-"&amp;COUNTIFS($G$2:G385,G385,$F$2:F385,F385)," ")</f>
        <v>2025-12-19</v>
      </c>
    </row>
    <row r="386" spans="1:8" x14ac:dyDescent="0.25">
      <c r="A386" s="11">
        <v>46011</v>
      </c>
      <c r="B386" s="3" t="str">
        <f t="shared" si="39"/>
        <v>sábado</v>
      </c>
      <c r="C386" s="13">
        <v>100212.17</v>
      </c>
      <c r="D386" s="16">
        <v>2461</v>
      </c>
      <c r="E386" s="4">
        <f t="shared" si="40"/>
        <v>40.720101584721654</v>
      </c>
      <c r="F386" s="3">
        <f t="shared" si="41"/>
        <v>12</v>
      </c>
      <c r="G386" s="3">
        <f t="shared" si="42"/>
        <v>2025</v>
      </c>
      <c r="H386" s="6" t="str">
        <f>IF(A386&lt;&gt;" ",G386&amp;"-"&amp;F386&amp;"-"&amp;COUNTIFS($G$2:G386,G386,$F$2:F386,F386)," ")</f>
        <v>2025-12-20</v>
      </c>
    </row>
    <row r="387" spans="1:8" x14ac:dyDescent="0.25">
      <c r="A387" s="11">
        <v>46012</v>
      </c>
      <c r="B387" s="3" t="str">
        <f t="shared" si="39"/>
        <v>domingo</v>
      </c>
      <c r="C387" s="13">
        <v>41850.44</v>
      </c>
      <c r="D387" s="16">
        <v>1222</v>
      </c>
      <c r="E387" s="4">
        <f t="shared" si="40"/>
        <v>34.247495908346977</v>
      </c>
      <c r="F387" s="3">
        <f t="shared" si="41"/>
        <v>12</v>
      </c>
      <c r="G387" s="3">
        <f t="shared" si="42"/>
        <v>2025</v>
      </c>
      <c r="H387" s="6" t="str">
        <f>IF(A387&lt;&gt;" ",G387&amp;"-"&amp;F387&amp;"-"&amp;COUNTIFS($G$2:G387,G387,$F$2:F387,F387)," ")</f>
        <v>2025-12-21</v>
      </c>
    </row>
    <row r="388" spans="1:8" x14ac:dyDescent="0.25">
      <c r="A388" s="11">
        <v>46013</v>
      </c>
      <c r="B388" s="3" t="str">
        <f t="shared" si="39"/>
        <v>segunda-feira</v>
      </c>
      <c r="C388" s="13">
        <v>100063.97</v>
      </c>
      <c r="D388" s="16">
        <v>2515</v>
      </c>
      <c r="E388" s="4">
        <f t="shared" si="40"/>
        <v>39.786866799204773</v>
      </c>
      <c r="F388" s="3">
        <f t="shared" si="41"/>
        <v>12</v>
      </c>
      <c r="G388" s="3">
        <f t="shared" si="42"/>
        <v>2025</v>
      </c>
      <c r="H388" s="6" t="str">
        <f>IF(A388&lt;&gt;" ",G388&amp;"-"&amp;F388&amp;"-"&amp;COUNTIFS($G$2:G388,G388,$F$2:F388,F388)," ")</f>
        <v>2025-12-22</v>
      </c>
    </row>
    <row r="389" spans="1:8" x14ac:dyDescent="0.25">
      <c r="A389" s="11">
        <v>46014</v>
      </c>
      <c r="B389" s="3" t="str">
        <f t="shared" si="39"/>
        <v>terça-feira</v>
      </c>
      <c r="C389" s="13">
        <v>132532.44</v>
      </c>
      <c r="D389" s="16">
        <v>3043</v>
      </c>
      <c r="E389" s="4">
        <f t="shared" si="40"/>
        <v>43.553217219848833</v>
      </c>
      <c r="F389" s="3">
        <f t="shared" si="41"/>
        <v>12</v>
      </c>
      <c r="G389" s="3">
        <f t="shared" si="42"/>
        <v>2025</v>
      </c>
      <c r="H389" s="6" t="str">
        <f>IF(A389&lt;&gt;" ",G389&amp;"-"&amp;F389&amp;"-"&amp;COUNTIFS($G$2:G389,G389,$F$2:F389,F389)," ")</f>
        <v>2025-12-23</v>
      </c>
    </row>
    <row r="390" spans="1:8" x14ac:dyDescent="0.25">
      <c r="A390" s="11">
        <v>46015</v>
      </c>
      <c r="B390" s="3" t="str">
        <f t="shared" si="39"/>
        <v>quarta-feira</v>
      </c>
      <c r="C390" s="13">
        <v>97363.1</v>
      </c>
      <c r="D390" s="16">
        <v>2415</v>
      </c>
      <c r="E390" s="4">
        <f t="shared" si="40"/>
        <v>40.315983436853003</v>
      </c>
      <c r="F390" s="3">
        <f t="shared" si="41"/>
        <v>12</v>
      </c>
      <c r="G390" s="3">
        <f t="shared" si="42"/>
        <v>2025</v>
      </c>
      <c r="H390" s="6" t="str">
        <f>IF(A390&lt;&gt;" ",G390&amp;"-"&amp;F390&amp;"-"&amp;COUNTIFS($G$2:G390,G390,$F$2:F390,F390)," ")</f>
        <v>2025-12-24</v>
      </c>
    </row>
    <row r="391" spans="1:8" x14ac:dyDescent="0.25">
      <c r="A391" s="11">
        <v>46016</v>
      </c>
      <c r="B391" s="3" t="str">
        <f t="shared" si="39"/>
        <v>quinta-feira</v>
      </c>
      <c r="C391" s="13">
        <v>0</v>
      </c>
      <c r="D391" s="16">
        <v>0</v>
      </c>
      <c r="E391" s="4" t="str">
        <f>IF(D391&gt;0,C391/D391," ")</f>
        <v xml:space="preserve"> </v>
      </c>
      <c r="F391" s="3">
        <f t="shared" si="41"/>
        <v>12</v>
      </c>
      <c r="G391" s="3">
        <f t="shared" si="42"/>
        <v>2025</v>
      </c>
      <c r="H391" s="6" t="str">
        <f>IF(A391&lt;&gt;" ",G391&amp;"-"&amp;F391&amp;"-"&amp;COUNTIFS($G$2:G391,G391,$F$2:F391,F391)," ")</f>
        <v>2025-12-25</v>
      </c>
    </row>
    <row r="392" spans="1:8" x14ac:dyDescent="0.25">
      <c r="A392" s="11">
        <v>46017</v>
      </c>
      <c r="B392" s="3" t="str">
        <f t="shared" si="39"/>
        <v>sexta-feira</v>
      </c>
      <c r="C392" s="13">
        <v>37005.019999999997</v>
      </c>
      <c r="D392" s="16">
        <v>1410</v>
      </c>
      <c r="E392" s="4">
        <f>IF(D392&gt;0,C392/D392," ")</f>
        <v>26.244695035460989</v>
      </c>
      <c r="F392" s="3">
        <f t="shared" si="41"/>
        <v>12</v>
      </c>
      <c r="G392" s="3">
        <f t="shared" si="42"/>
        <v>2025</v>
      </c>
      <c r="H392" s="6" t="str">
        <f>IF(A392&lt;&gt;" ",G392&amp;"-"&amp;F392&amp;"-"&amp;COUNTIFS($G$2:G392,G392,$F$2:F392,F392)," ")</f>
        <v>2025-12-26</v>
      </c>
    </row>
    <row r="393" spans="1:8" x14ac:dyDescent="0.25">
      <c r="A393" s="11">
        <v>46018</v>
      </c>
      <c r="B393" s="3" t="str">
        <f t="shared" si="39"/>
        <v>sábado</v>
      </c>
      <c r="C393" s="13">
        <v>46119.1</v>
      </c>
      <c r="D393" s="16">
        <v>1650</v>
      </c>
      <c r="E393" s="4">
        <f>IF(D393&gt;0,C393/D393," ")</f>
        <v>27.950969696969697</v>
      </c>
      <c r="F393" s="3">
        <f t="shared" si="41"/>
        <v>12</v>
      </c>
      <c r="G393" s="3">
        <f t="shared" si="42"/>
        <v>2025</v>
      </c>
      <c r="H393" s="6" t="str">
        <f>IF(A393&lt;&gt;" ",G393&amp;"-"&amp;F393&amp;"-"&amp;COUNTIFS($G$2:G393,G393,$F$2:F393,F393)," ")</f>
        <v>2025-12-27</v>
      </c>
    </row>
    <row r="394" spans="1:8" x14ac:dyDescent="0.25">
      <c r="A394" s="11">
        <v>46019</v>
      </c>
      <c r="B394" s="3" t="str">
        <f t="shared" si="39"/>
        <v>domingo</v>
      </c>
      <c r="C394" s="13">
        <v>16630.34</v>
      </c>
      <c r="D394" s="16">
        <v>709</v>
      </c>
      <c r="E394" s="4">
        <f>IF(D394&gt;0,C394/D394," ")</f>
        <v>23.456050775740479</v>
      </c>
      <c r="F394" s="3">
        <f t="shared" si="41"/>
        <v>12</v>
      </c>
      <c r="G394" s="3">
        <f t="shared" si="42"/>
        <v>2025</v>
      </c>
      <c r="H394" s="6" t="str">
        <f>IF(A394&lt;&gt;" ",G394&amp;"-"&amp;F394&amp;"-"&amp;COUNTIFS($G$2:G394,G394,$F$2:F394,F394)," ")</f>
        <v>2025-12-28</v>
      </c>
    </row>
    <row r="395" spans="1:8" x14ac:dyDescent="0.25">
      <c r="A395" s="11">
        <v>46020</v>
      </c>
      <c r="B395" s="3" t="str">
        <f t="shared" si="39"/>
        <v>segunda-feira</v>
      </c>
      <c r="C395" s="13">
        <v>55745.52</v>
      </c>
      <c r="D395" s="16">
        <v>1949</v>
      </c>
      <c r="E395" s="4">
        <f>IF(D395&gt;0,C395/D395," ")</f>
        <v>28.602113904566444</v>
      </c>
      <c r="F395" s="3">
        <f t="shared" si="41"/>
        <v>12</v>
      </c>
      <c r="G395" s="3">
        <f t="shared" si="42"/>
        <v>2025</v>
      </c>
      <c r="H395" s="6" t="str">
        <f>IF(A395&lt;&gt;" ",G395&amp;"-"&amp;F395&amp;"-"&amp;COUNTIFS($G$2:G395,G395,$F$2:F395,F395)," ")</f>
        <v>2025-12-29</v>
      </c>
    </row>
    <row r="396" spans="1:8" x14ac:dyDescent="0.25">
      <c r="A396" s="11">
        <v>46021</v>
      </c>
      <c r="B396" s="3" t="str">
        <f t="shared" si="39"/>
        <v>terça-feira</v>
      </c>
      <c r="C396" s="13">
        <v>96194.28</v>
      </c>
      <c r="D396" s="16">
        <v>2674</v>
      </c>
      <c r="E396" s="4">
        <f t="shared" si="40"/>
        <v>35.973926701570683</v>
      </c>
      <c r="F396" s="3">
        <f t="shared" si="41"/>
        <v>12</v>
      </c>
      <c r="G396" s="3">
        <f t="shared" si="42"/>
        <v>2025</v>
      </c>
      <c r="H396" s="6" t="str">
        <f>IF(A396&lt;&gt;" ",G396&amp;"-"&amp;F396&amp;"-"&amp;COUNTIFS($G$2:G396,G396,$F$2:F396,F396)," ")</f>
        <v>2025-12-30</v>
      </c>
    </row>
    <row r="397" spans="1:8" x14ac:dyDescent="0.25">
      <c r="A397" s="11">
        <v>46022</v>
      </c>
      <c r="B397" s="3" t="str">
        <f t="shared" si="39"/>
        <v>quarta-feira</v>
      </c>
      <c r="C397" s="13">
        <v>78809.58</v>
      </c>
      <c r="D397" s="16">
        <v>2104</v>
      </c>
      <c r="E397" s="4">
        <f t="shared" si="40"/>
        <v>37.457024714828897</v>
      </c>
      <c r="F397" s="3">
        <f t="shared" si="41"/>
        <v>12</v>
      </c>
      <c r="G397" s="3">
        <f t="shared" si="42"/>
        <v>2025</v>
      </c>
      <c r="H397" s="6" t="str">
        <f>IF(A397&lt;&gt;" ",G397&amp;"-"&amp;F397&amp;"-"&amp;COUNTIFS($G$2:G397,G397,$F$2:F397,F397)," ")</f>
        <v>2025-12-31</v>
      </c>
    </row>
    <row r="398" spans="1:8" x14ac:dyDescent="0.25">
      <c r="A398" s="11">
        <v>46023</v>
      </c>
      <c r="B398" s="3" t="str">
        <f t="shared" si="39"/>
        <v>quinta-feira</v>
      </c>
      <c r="C398" s="13"/>
      <c r="D398" s="16"/>
      <c r="E398" s="4" t="str">
        <f t="shared" si="40"/>
        <v xml:space="preserve"> </v>
      </c>
      <c r="F398" s="3">
        <f t="shared" si="41"/>
        <v>1</v>
      </c>
      <c r="G398" s="3">
        <f t="shared" si="42"/>
        <v>2026</v>
      </c>
      <c r="H398" s="6" t="str">
        <f>IF(A398&lt;&gt;" ",G398&amp;"-"&amp;F398&amp;"-"&amp;COUNTIFS($G$2:G398,G398,$F$2:F398,F398)," ")</f>
        <v>2026-1-1</v>
      </c>
    </row>
    <row r="399" spans="1:8" x14ac:dyDescent="0.25">
      <c r="A399" s="11">
        <v>46024</v>
      </c>
      <c r="B399" s="3" t="str">
        <f t="shared" si="39"/>
        <v>sexta-feira</v>
      </c>
      <c r="C399" s="13">
        <v>29862.85</v>
      </c>
      <c r="D399" s="16">
        <v>1229</v>
      </c>
      <c r="E399" s="4">
        <f t="shared" si="40"/>
        <v>24.298494711147274</v>
      </c>
      <c r="F399" s="3">
        <f t="shared" si="41"/>
        <v>1</v>
      </c>
      <c r="G399" s="3">
        <f t="shared" si="42"/>
        <v>2026</v>
      </c>
      <c r="H399" s="6" t="str">
        <f>IF(A399&lt;&gt;" ",G399&amp;"-"&amp;F399&amp;"-"&amp;COUNTIFS($G$2:G399,G399,$F$2:F399,F399)," ")</f>
        <v>2026-1-2</v>
      </c>
    </row>
    <row r="400" spans="1:8" x14ac:dyDescent="0.25">
      <c r="A400" s="11">
        <v>46025</v>
      </c>
      <c r="B400" s="3" t="str">
        <f t="shared" si="39"/>
        <v>sábado</v>
      </c>
      <c r="C400" s="13"/>
      <c r="D400" s="16"/>
      <c r="E400" s="4" t="str">
        <f t="shared" si="40"/>
        <v xml:space="preserve"> </v>
      </c>
      <c r="F400" s="3">
        <f t="shared" si="41"/>
        <v>1</v>
      </c>
      <c r="G400" s="3">
        <f t="shared" si="42"/>
        <v>2026</v>
      </c>
      <c r="H400" s="6" t="str">
        <f>IF(A400&lt;&gt;" ",G400&amp;"-"&amp;F400&amp;"-"&amp;COUNTIFS($G$2:G400,G400,$F$2:F400,F400)," ")</f>
        <v>2026-1-3</v>
      </c>
    </row>
    <row r="401" spans="1:8" x14ac:dyDescent="0.25">
      <c r="A401" s="11">
        <v>46026</v>
      </c>
      <c r="B401" s="3" t="str">
        <f t="shared" si="39"/>
        <v>domingo</v>
      </c>
      <c r="C401" s="13"/>
      <c r="D401" s="16"/>
      <c r="E401" s="4" t="str">
        <f t="shared" si="40"/>
        <v xml:space="preserve"> </v>
      </c>
      <c r="F401" s="3">
        <f t="shared" si="41"/>
        <v>1</v>
      </c>
      <c r="G401" s="3">
        <f t="shared" si="42"/>
        <v>2026</v>
      </c>
      <c r="H401" s="6" t="str">
        <f>IF(A401&lt;&gt;" ",G401&amp;"-"&amp;F401&amp;"-"&amp;COUNTIFS($G$2:G401,G401,$F$2:F401,F401)," ")</f>
        <v>2026-1-4</v>
      </c>
    </row>
    <row r="402" spans="1:8" x14ac:dyDescent="0.25">
      <c r="A402" s="11">
        <v>46027</v>
      </c>
      <c r="B402" s="3" t="str">
        <f t="shared" si="39"/>
        <v>segunda-feira</v>
      </c>
      <c r="C402" s="13"/>
      <c r="D402" s="16"/>
      <c r="E402" s="4" t="str">
        <f t="shared" si="40"/>
        <v xml:space="preserve"> </v>
      </c>
      <c r="F402" s="3">
        <f t="shared" si="41"/>
        <v>1</v>
      </c>
      <c r="G402" s="3">
        <f t="shared" si="42"/>
        <v>2026</v>
      </c>
      <c r="H402" s="6" t="str">
        <f>IF(A402&lt;&gt;" ",G402&amp;"-"&amp;F402&amp;"-"&amp;COUNTIFS($G$2:G402,G402,$F$2:F402,F402)," ")</f>
        <v>2026-1-5</v>
      </c>
    </row>
    <row r="403" spans="1:8" x14ac:dyDescent="0.25">
      <c r="A403" s="11">
        <v>46028</v>
      </c>
      <c r="B403" s="3" t="str">
        <f t="shared" si="39"/>
        <v>terça-feira</v>
      </c>
      <c r="C403" s="13"/>
      <c r="D403" s="16"/>
      <c r="E403" s="4" t="str">
        <f t="shared" si="40"/>
        <v xml:space="preserve"> </v>
      </c>
      <c r="F403" s="3">
        <f t="shared" si="41"/>
        <v>1</v>
      </c>
      <c r="G403" s="3">
        <f t="shared" si="42"/>
        <v>2026</v>
      </c>
      <c r="H403" s="6" t="str">
        <f>IF(A403&lt;&gt;" ",G403&amp;"-"&amp;F403&amp;"-"&amp;COUNTIFS($G$2:G403,G403,$F$2:F403,F403)," ")</f>
        <v>2026-1-6</v>
      </c>
    </row>
    <row r="404" spans="1:8" x14ac:dyDescent="0.25">
      <c r="A404" s="11">
        <v>46029</v>
      </c>
      <c r="B404" s="3" t="str">
        <f t="shared" si="39"/>
        <v>quarta-feira</v>
      </c>
      <c r="C404" s="13"/>
      <c r="D404" s="16"/>
      <c r="E404" s="4" t="str">
        <f t="shared" si="40"/>
        <v xml:space="preserve"> </v>
      </c>
      <c r="F404" s="3">
        <f t="shared" si="41"/>
        <v>1</v>
      </c>
      <c r="G404" s="3">
        <f t="shared" si="42"/>
        <v>2026</v>
      </c>
      <c r="H404" s="6" t="str">
        <f>IF(A404&lt;&gt;" ",G404&amp;"-"&amp;F404&amp;"-"&amp;COUNTIFS($G$2:G404,G404,$F$2:F404,F404)," ")</f>
        <v>2026-1-7</v>
      </c>
    </row>
    <row r="405" spans="1:8" x14ac:dyDescent="0.25">
      <c r="A405" s="11">
        <v>46030</v>
      </c>
      <c r="B405" s="3" t="str">
        <f t="shared" si="39"/>
        <v>quinta-feira</v>
      </c>
      <c r="C405" s="13"/>
      <c r="D405" s="16"/>
      <c r="E405" s="4" t="str">
        <f t="shared" si="40"/>
        <v xml:space="preserve"> </v>
      </c>
      <c r="F405" s="3">
        <f t="shared" si="41"/>
        <v>1</v>
      </c>
      <c r="G405" s="3">
        <f t="shared" si="42"/>
        <v>2026</v>
      </c>
      <c r="H405" s="6" t="str">
        <f>IF(A405&lt;&gt;" ",G405&amp;"-"&amp;F405&amp;"-"&amp;COUNTIFS($G$2:G405,G405,$F$2:F405,F405)," ")</f>
        <v>2026-1-8</v>
      </c>
    </row>
    <row r="406" spans="1:8" x14ac:dyDescent="0.25">
      <c r="A406" s="11">
        <v>46031</v>
      </c>
      <c r="B406" s="3" t="str">
        <f t="shared" si="39"/>
        <v>sexta-feira</v>
      </c>
      <c r="C406" s="13"/>
      <c r="D406" s="16"/>
      <c r="E406" s="4" t="str">
        <f t="shared" si="40"/>
        <v xml:space="preserve"> </v>
      </c>
      <c r="F406" s="3">
        <f t="shared" si="41"/>
        <v>1</v>
      </c>
      <c r="G406" s="3">
        <f t="shared" si="42"/>
        <v>2026</v>
      </c>
      <c r="H406" s="6" t="str">
        <f>IF(A406&lt;&gt;" ",G406&amp;"-"&amp;F406&amp;"-"&amp;COUNTIFS($G$2:G406,G406,$F$2:F406,F406)," ")</f>
        <v>2026-1-9</v>
      </c>
    </row>
    <row r="407" spans="1:8" x14ac:dyDescent="0.25">
      <c r="A407" s="11">
        <v>46032</v>
      </c>
      <c r="B407" s="3" t="str">
        <f t="shared" si="39"/>
        <v>sábado</v>
      </c>
      <c r="C407" s="13"/>
      <c r="D407" s="16"/>
      <c r="E407" s="4" t="str">
        <f t="shared" si="40"/>
        <v xml:space="preserve"> </v>
      </c>
      <c r="F407" s="3">
        <f t="shared" si="41"/>
        <v>1</v>
      </c>
      <c r="G407" s="3">
        <f t="shared" si="42"/>
        <v>2026</v>
      </c>
      <c r="H407" s="6" t="str">
        <f>IF(A407&lt;&gt;" ",G407&amp;"-"&amp;F407&amp;"-"&amp;COUNTIFS($G$2:G407,G407,$F$2:F407,F407)," ")</f>
        <v>2026-1-10</v>
      </c>
    </row>
    <row r="408" spans="1:8" x14ac:dyDescent="0.25">
      <c r="A408" s="11">
        <v>46033</v>
      </c>
      <c r="B408" s="3" t="str">
        <f t="shared" si="39"/>
        <v>domingo</v>
      </c>
      <c r="C408" s="13"/>
      <c r="D408" s="16"/>
      <c r="E408" s="4" t="str">
        <f t="shared" si="40"/>
        <v xml:space="preserve"> </v>
      </c>
      <c r="F408" s="3">
        <f t="shared" si="41"/>
        <v>1</v>
      </c>
      <c r="G408" s="3">
        <f t="shared" si="42"/>
        <v>2026</v>
      </c>
      <c r="H408" s="6" t="str">
        <f>IF(A408&lt;&gt;" ",G408&amp;"-"&amp;F408&amp;"-"&amp;COUNTIFS($G$2:G408,G408,$F$2:F408,F408)," ")</f>
        <v>2026-1-11</v>
      </c>
    </row>
    <row r="409" spans="1:8" x14ac:dyDescent="0.25">
      <c r="A409" s="11">
        <v>46034</v>
      </c>
      <c r="B409" s="3" t="str">
        <f t="shared" ref="B409:B472" si="43">IF(A409&lt;&gt;" ",TEXT(A409,"dddd")," ")</f>
        <v>segunda-feira</v>
      </c>
      <c r="C409" s="13"/>
      <c r="D409" s="16"/>
      <c r="E409" s="4" t="str">
        <f t="shared" ref="E409:E472" si="44">IF(D409&gt;0,C409/D409," ")</f>
        <v xml:space="preserve"> </v>
      </c>
      <c r="F409" s="3">
        <f t="shared" ref="F409:F472" si="45">IF(A409&lt;&gt;" ",MONTH(A409)," ")</f>
        <v>1</v>
      </c>
      <c r="G409" s="3">
        <f t="shared" ref="G409:G472" si="46">IF(A409&lt;&gt;" ",YEAR(A409)," ")</f>
        <v>2026</v>
      </c>
      <c r="H409" s="6" t="str">
        <f>IF(A409&lt;&gt;" ",G409&amp;"-"&amp;F409&amp;"-"&amp;COUNTIFS($G$2:G409,G409,$F$2:F409,F409)," ")</f>
        <v>2026-1-12</v>
      </c>
    </row>
    <row r="410" spans="1:8" x14ac:dyDescent="0.25">
      <c r="A410" s="11">
        <v>46035</v>
      </c>
      <c r="B410" s="3" t="str">
        <f t="shared" si="43"/>
        <v>terça-feira</v>
      </c>
      <c r="C410" s="13"/>
      <c r="D410" s="16"/>
      <c r="E410" s="4" t="str">
        <f t="shared" si="44"/>
        <v xml:space="preserve"> </v>
      </c>
      <c r="F410" s="3">
        <f t="shared" si="45"/>
        <v>1</v>
      </c>
      <c r="G410" s="3">
        <f t="shared" si="46"/>
        <v>2026</v>
      </c>
      <c r="H410" s="6" t="str">
        <f>IF(A410&lt;&gt;" ",G410&amp;"-"&amp;F410&amp;"-"&amp;COUNTIFS($G$2:G410,G410,$F$2:F410,F410)," ")</f>
        <v>2026-1-13</v>
      </c>
    </row>
    <row r="411" spans="1:8" x14ac:dyDescent="0.25">
      <c r="A411" s="11">
        <v>46036</v>
      </c>
      <c r="B411" s="3" t="str">
        <f t="shared" si="43"/>
        <v>quarta-feira</v>
      </c>
      <c r="C411" s="13"/>
      <c r="D411" s="16"/>
      <c r="E411" s="4" t="str">
        <f t="shared" si="44"/>
        <v xml:space="preserve"> </v>
      </c>
      <c r="F411" s="3">
        <f t="shared" si="45"/>
        <v>1</v>
      </c>
      <c r="G411" s="3">
        <f t="shared" si="46"/>
        <v>2026</v>
      </c>
      <c r="H411" s="6" t="str">
        <f>IF(A411&lt;&gt;" ",G411&amp;"-"&amp;F411&amp;"-"&amp;COUNTIFS($G$2:G411,G411,$F$2:F411,F411)," ")</f>
        <v>2026-1-14</v>
      </c>
    </row>
    <row r="412" spans="1:8" x14ac:dyDescent="0.25">
      <c r="A412" s="11">
        <v>46037</v>
      </c>
      <c r="B412" s="3" t="str">
        <f t="shared" si="43"/>
        <v>quinta-feira</v>
      </c>
      <c r="C412" s="13"/>
      <c r="D412" s="16"/>
      <c r="E412" s="4" t="str">
        <f t="shared" si="44"/>
        <v xml:space="preserve"> </v>
      </c>
      <c r="F412" s="3">
        <f t="shared" si="45"/>
        <v>1</v>
      </c>
      <c r="G412" s="3">
        <f t="shared" si="46"/>
        <v>2026</v>
      </c>
      <c r="H412" s="6" t="str">
        <f>IF(A412&lt;&gt;" ",G412&amp;"-"&amp;F412&amp;"-"&amp;COUNTIFS($G$2:G412,G412,$F$2:F412,F412)," ")</f>
        <v>2026-1-15</v>
      </c>
    </row>
    <row r="413" spans="1:8" x14ac:dyDescent="0.25">
      <c r="A413" s="11">
        <v>46038</v>
      </c>
      <c r="B413" s="3" t="str">
        <f t="shared" si="43"/>
        <v>sexta-feira</v>
      </c>
      <c r="C413" s="13"/>
      <c r="D413" s="16"/>
      <c r="E413" s="4" t="str">
        <f t="shared" si="44"/>
        <v xml:space="preserve"> </v>
      </c>
      <c r="F413" s="3">
        <f t="shared" si="45"/>
        <v>1</v>
      </c>
      <c r="G413" s="3">
        <f t="shared" si="46"/>
        <v>2026</v>
      </c>
      <c r="H413" s="6" t="str">
        <f>IF(A413&lt;&gt;" ",G413&amp;"-"&amp;F413&amp;"-"&amp;COUNTIFS($G$2:G413,G413,$F$2:F413,F413)," ")</f>
        <v>2026-1-16</v>
      </c>
    </row>
    <row r="414" spans="1:8" x14ac:dyDescent="0.25">
      <c r="A414" s="11">
        <v>46039</v>
      </c>
      <c r="B414" s="3" t="str">
        <f t="shared" si="43"/>
        <v>sábado</v>
      </c>
      <c r="C414" s="13"/>
      <c r="D414" s="16"/>
      <c r="E414" s="4" t="str">
        <f t="shared" si="44"/>
        <v xml:space="preserve"> </v>
      </c>
      <c r="F414" s="3">
        <f t="shared" si="45"/>
        <v>1</v>
      </c>
      <c r="G414" s="3">
        <f t="shared" si="46"/>
        <v>2026</v>
      </c>
      <c r="H414" s="6" t="str">
        <f>IF(A414&lt;&gt;" ",G414&amp;"-"&amp;F414&amp;"-"&amp;COUNTIFS($G$2:G414,G414,$F$2:F414,F414)," ")</f>
        <v>2026-1-17</v>
      </c>
    </row>
    <row r="415" spans="1:8" x14ac:dyDescent="0.25">
      <c r="A415" s="11">
        <v>46040</v>
      </c>
      <c r="B415" s="3" t="str">
        <f t="shared" si="43"/>
        <v>domingo</v>
      </c>
      <c r="C415" s="13"/>
      <c r="D415" s="16"/>
      <c r="E415" s="4" t="str">
        <f t="shared" si="44"/>
        <v xml:space="preserve"> </v>
      </c>
      <c r="F415" s="3">
        <f t="shared" si="45"/>
        <v>1</v>
      </c>
      <c r="G415" s="3">
        <f t="shared" si="46"/>
        <v>2026</v>
      </c>
      <c r="H415" s="6" t="str">
        <f>IF(A415&lt;&gt;" ",G415&amp;"-"&amp;F415&amp;"-"&amp;COUNTIFS($G$2:G415,G415,$F$2:F415,F415)," ")</f>
        <v>2026-1-18</v>
      </c>
    </row>
    <row r="416" spans="1:8" x14ac:dyDescent="0.25">
      <c r="A416" s="11">
        <v>46041</v>
      </c>
      <c r="B416" s="3" t="str">
        <f t="shared" si="43"/>
        <v>segunda-feira</v>
      </c>
      <c r="C416" s="13"/>
      <c r="D416" s="16"/>
      <c r="E416" s="4" t="str">
        <f t="shared" si="44"/>
        <v xml:space="preserve"> </v>
      </c>
      <c r="F416" s="3">
        <f t="shared" si="45"/>
        <v>1</v>
      </c>
      <c r="G416" s="3">
        <f t="shared" si="46"/>
        <v>2026</v>
      </c>
      <c r="H416" s="6" t="str">
        <f>IF(A416&lt;&gt;" ",G416&amp;"-"&amp;F416&amp;"-"&amp;COUNTIFS($G$2:G416,G416,$F$2:F416,F416)," ")</f>
        <v>2026-1-19</v>
      </c>
    </row>
    <row r="417" spans="1:8" x14ac:dyDescent="0.25">
      <c r="A417" s="11">
        <v>46042</v>
      </c>
      <c r="B417" s="3" t="str">
        <f t="shared" si="43"/>
        <v>terça-feira</v>
      </c>
      <c r="C417" s="13"/>
      <c r="D417" s="16"/>
      <c r="E417" s="4" t="str">
        <f t="shared" si="44"/>
        <v xml:space="preserve"> </v>
      </c>
      <c r="F417" s="3">
        <f t="shared" si="45"/>
        <v>1</v>
      </c>
      <c r="G417" s="3">
        <f t="shared" si="46"/>
        <v>2026</v>
      </c>
      <c r="H417" s="6" t="str">
        <f>IF(A417&lt;&gt;" ",G417&amp;"-"&amp;F417&amp;"-"&amp;COUNTIFS($G$2:G417,G417,$F$2:F417,F417)," ")</f>
        <v>2026-1-20</v>
      </c>
    </row>
    <row r="418" spans="1:8" x14ac:dyDescent="0.25">
      <c r="A418" s="11">
        <v>46043</v>
      </c>
      <c r="B418" s="3" t="str">
        <f t="shared" si="43"/>
        <v>quarta-feira</v>
      </c>
      <c r="C418" s="13"/>
      <c r="D418" s="16"/>
      <c r="E418" s="4" t="str">
        <f t="shared" si="44"/>
        <v xml:space="preserve"> </v>
      </c>
      <c r="F418" s="3">
        <f t="shared" si="45"/>
        <v>1</v>
      </c>
      <c r="G418" s="3">
        <f t="shared" si="46"/>
        <v>2026</v>
      </c>
      <c r="H418" s="6" t="str">
        <f>IF(A418&lt;&gt;" ",G418&amp;"-"&amp;F418&amp;"-"&amp;COUNTIFS($G$2:G418,G418,$F$2:F418,F418)," ")</f>
        <v>2026-1-21</v>
      </c>
    </row>
    <row r="419" spans="1:8" x14ac:dyDescent="0.25">
      <c r="A419" s="11">
        <v>46044</v>
      </c>
      <c r="B419" s="3" t="str">
        <f t="shared" si="43"/>
        <v>quinta-feira</v>
      </c>
      <c r="C419" s="13"/>
      <c r="D419" s="16"/>
      <c r="E419" s="4" t="str">
        <f t="shared" si="44"/>
        <v xml:space="preserve"> </v>
      </c>
      <c r="F419" s="3">
        <f t="shared" si="45"/>
        <v>1</v>
      </c>
      <c r="G419" s="3">
        <f t="shared" si="46"/>
        <v>2026</v>
      </c>
      <c r="H419" s="6" t="str">
        <f>IF(A419&lt;&gt;" ",G419&amp;"-"&amp;F419&amp;"-"&amp;COUNTIFS($G$2:G419,G419,$F$2:F419,F419)," ")</f>
        <v>2026-1-22</v>
      </c>
    </row>
    <row r="420" spans="1:8" x14ac:dyDescent="0.25">
      <c r="A420" s="11">
        <v>46045</v>
      </c>
      <c r="B420" s="3" t="str">
        <f t="shared" si="43"/>
        <v>sexta-feira</v>
      </c>
      <c r="C420" s="13"/>
      <c r="D420" s="16"/>
      <c r="E420" s="4" t="str">
        <f t="shared" si="44"/>
        <v xml:space="preserve"> </v>
      </c>
      <c r="F420" s="3">
        <f t="shared" si="45"/>
        <v>1</v>
      </c>
      <c r="G420" s="3">
        <f t="shared" si="46"/>
        <v>2026</v>
      </c>
      <c r="H420" s="6" t="str">
        <f>IF(A420&lt;&gt;" ",G420&amp;"-"&amp;F420&amp;"-"&amp;COUNTIFS($G$2:G420,G420,$F$2:F420,F420)," ")</f>
        <v>2026-1-23</v>
      </c>
    </row>
    <row r="421" spans="1:8" x14ac:dyDescent="0.25">
      <c r="A421" s="11">
        <v>46046</v>
      </c>
      <c r="B421" s="3" t="str">
        <f t="shared" si="43"/>
        <v>sábado</v>
      </c>
      <c r="C421" s="13"/>
      <c r="D421" s="16"/>
      <c r="E421" s="4" t="str">
        <f t="shared" si="44"/>
        <v xml:space="preserve"> </v>
      </c>
      <c r="F421" s="3">
        <f t="shared" si="45"/>
        <v>1</v>
      </c>
      <c r="G421" s="3">
        <f t="shared" si="46"/>
        <v>2026</v>
      </c>
      <c r="H421" s="6" t="str">
        <f>IF(A421&lt;&gt;" ",G421&amp;"-"&amp;F421&amp;"-"&amp;COUNTIFS($G$2:G421,G421,$F$2:F421,F421)," ")</f>
        <v>2026-1-24</v>
      </c>
    </row>
    <row r="422" spans="1:8" x14ac:dyDescent="0.25">
      <c r="A422" s="11">
        <v>46047</v>
      </c>
      <c r="B422" s="3" t="str">
        <f t="shared" si="43"/>
        <v>domingo</v>
      </c>
      <c r="C422" s="13"/>
      <c r="D422" s="16"/>
      <c r="E422" s="4" t="str">
        <f t="shared" si="44"/>
        <v xml:space="preserve"> </v>
      </c>
      <c r="F422" s="3">
        <f t="shared" si="45"/>
        <v>1</v>
      </c>
      <c r="G422" s="3">
        <f t="shared" si="46"/>
        <v>2026</v>
      </c>
      <c r="H422" s="6" t="str">
        <f>IF(A422&lt;&gt;" ",G422&amp;"-"&amp;F422&amp;"-"&amp;COUNTIFS($G$2:G422,G422,$F$2:F422,F422)," ")</f>
        <v>2026-1-25</v>
      </c>
    </row>
    <row r="423" spans="1:8" x14ac:dyDescent="0.25">
      <c r="A423" s="11">
        <v>46048</v>
      </c>
      <c r="B423" s="3" t="str">
        <f t="shared" si="43"/>
        <v>segunda-feira</v>
      </c>
      <c r="C423" s="13"/>
      <c r="D423" s="16"/>
      <c r="E423" s="4" t="str">
        <f t="shared" si="44"/>
        <v xml:space="preserve"> </v>
      </c>
      <c r="F423" s="3">
        <f t="shared" si="45"/>
        <v>1</v>
      </c>
      <c r="G423" s="3">
        <f t="shared" si="46"/>
        <v>2026</v>
      </c>
      <c r="H423" s="6" t="str">
        <f>IF(A423&lt;&gt;" ",G423&amp;"-"&amp;F423&amp;"-"&amp;COUNTIFS($G$2:G423,G423,$F$2:F423,F423)," ")</f>
        <v>2026-1-26</v>
      </c>
    </row>
    <row r="424" spans="1:8" x14ac:dyDescent="0.25">
      <c r="A424" s="11">
        <v>46049</v>
      </c>
      <c r="B424" s="3" t="str">
        <f t="shared" si="43"/>
        <v>terça-feira</v>
      </c>
      <c r="C424" s="13"/>
      <c r="D424" s="16"/>
      <c r="E424" s="4" t="str">
        <f t="shared" si="44"/>
        <v xml:space="preserve"> </v>
      </c>
      <c r="F424" s="3">
        <f t="shared" si="45"/>
        <v>1</v>
      </c>
      <c r="G424" s="3">
        <f t="shared" si="46"/>
        <v>2026</v>
      </c>
      <c r="H424" s="6" t="str">
        <f>IF(A424&lt;&gt;" ",G424&amp;"-"&amp;F424&amp;"-"&amp;COUNTIFS($G$2:G424,G424,$F$2:F424,F424)," ")</f>
        <v>2026-1-27</v>
      </c>
    </row>
    <row r="425" spans="1:8" x14ac:dyDescent="0.25">
      <c r="A425" s="11">
        <v>46050</v>
      </c>
      <c r="B425" s="3" t="str">
        <f t="shared" si="43"/>
        <v>quarta-feira</v>
      </c>
      <c r="C425" s="13"/>
      <c r="D425" s="16"/>
      <c r="E425" s="4" t="str">
        <f t="shared" si="44"/>
        <v xml:space="preserve"> </v>
      </c>
      <c r="F425" s="3">
        <f t="shared" si="45"/>
        <v>1</v>
      </c>
      <c r="G425" s="3">
        <f t="shared" si="46"/>
        <v>2026</v>
      </c>
      <c r="H425" s="6" t="str">
        <f>IF(A425&lt;&gt;" ",G425&amp;"-"&amp;F425&amp;"-"&amp;COUNTIFS($G$2:G425,G425,$F$2:F425,F425)," ")</f>
        <v>2026-1-28</v>
      </c>
    </row>
    <row r="426" spans="1:8" x14ac:dyDescent="0.25">
      <c r="A426" s="11">
        <v>46051</v>
      </c>
      <c r="B426" s="3" t="str">
        <f t="shared" si="43"/>
        <v>quinta-feira</v>
      </c>
      <c r="C426" s="13"/>
      <c r="D426" s="16"/>
      <c r="E426" s="4" t="str">
        <f t="shared" si="44"/>
        <v xml:space="preserve"> </v>
      </c>
      <c r="F426" s="3">
        <f t="shared" si="45"/>
        <v>1</v>
      </c>
      <c r="G426" s="3">
        <f t="shared" si="46"/>
        <v>2026</v>
      </c>
      <c r="H426" s="6" t="str">
        <f>IF(A426&lt;&gt;" ",G426&amp;"-"&amp;F426&amp;"-"&amp;COUNTIFS($G$2:G426,G426,$F$2:F426,F426)," ")</f>
        <v>2026-1-29</v>
      </c>
    </row>
    <row r="427" spans="1:8" x14ac:dyDescent="0.25">
      <c r="A427" s="11">
        <v>46052</v>
      </c>
      <c r="B427" s="3" t="str">
        <f t="shared" si="43"/>
        <v>sexta-feira</v>
      </c>
      <c r="C427" s="13"/>
      <c r="D427" s="16"/>
      <c r="E427" s="4" t="str">
        <f t="shared" si="44"/>
        <v xml:space="preserve"> </v>
      </c>
      <c r="F427" s="3">
        <f t="shared" si="45"/>
        <v>1</v>
      </c>
      <c r="G427" s="3">
        <f t="shared" si="46"/>
        <v>2026</v>
      </c>
      <c r="H427" s="6" t="str">
        <f>IF(A427&lt;&gt;" ",G427&amp;"-"&amp;F427&amp;"-"&amp;COUNTIFS($G$2:G427,G427,$F$2:F427,F427)," ")</f>
        <v>2026-1-30</v>
      </c>
    </row>
    <row r="428" spans="1:8" x14ac:dyDescent="0.25">
      <c r="A428" s="11">
        <v>46053</v>
      </c>
      <c r="B428" s="3" t="str">
        <f t="shared" si="43"/>
        <v>sábado</v>
      </c>
      <c r="C428" s="13"/>
      <c r="D428" s="16"/>
      <c r="E428" s="4" t="str">
        <f t="shared" si="44"/>
        <v xml:space="preserve"> </v>
      </c>
      <c r="F428" s="3">
        <f t="shared" si="45"/>
        <v>1</v>
      </c>
      <c r="G428" s="3">
        <f t="shared" si="46"/>
        <v>2026</v>
      </c>
      <c r="H428" s="6" t="str">
        <f>IF(A428&lt;&gt;" ",G428&amp;"-"&amp;F428&amp;"-"&amp;COUNTIFS($G$2:G428,G428,$F$2:F428,F428)," ")</f>
        <v>2026-1-31</v>
      </c>
    </row>
    <row r="429" spans="1:8" x14ac:dyDescent="0.25">
      <c r="A429" s="11">
        <v>46054</v>
      </c>
      <c r="B429" s="3" t="str">
        <f t="shared" si="43"/>
        <v>domingo</v>
      </c>
      <c r="C429" s="13"/>
      <c r="D429" s="16"/>
      <c r="E429" s="4" t="str">
        <f t="shared" si="44"/>
        <v xml:space="preserve"> </v>
      </c>
      <c r="F429" s="3">
        <f t="shared" si="45"/>
        <v>2</v>
      </c>
      <c r="G429" s="3">
        <f t="shared" si="46"/>
        <v>2026</v>
      </c>
      <c r="H429" s="6" t="str">
        <f>IF(A429&lt;&gt;" ",G429&amp;"-"&amp;F429&amp;"-"&amp;COUNTIFS($G$2:G429,G429,$F$2:F429,F429)," ")</f>
        <v>2026-2-1</v>
      </c>
    </row>
    <row r="430" spans="1:8" x14ac:dyDescent="0.25">
      <c r="A430" s="11">
        <v>46055</v>
      </c>
      <c r="B430" s="3" t="str">
        <f t="shared" si="43"/>
        <v>segunda-feira</v>
      </c>
      <c r="C430" s="13"/>
      <c r="D430" s="16"/>
      <c r="E430" s="4" t="str">
        <f t="shared" si="44"/>
        <v xml:space="preserve"> </v>
      </c>
      <c r="F430" s="3">
        <f t="shared" si="45"/>
        <v>2</v>
      </c>
      <c r="G430" s="3">
        <f t="shared" si="46"/>
        <v>2026</v>
      </c>
      <c r="H430" s="6" t="str">
        <f>IF(A430&lt;&gt;" ",G430&amp;"-"&amp;F430&amp;"-"&amp;COUNTIFS($G$2:G430,G430,$F$2:F430,F430)," ")</f>
        <v>2026-2-2</v>
      </c>
    </row>
    <row r="431" spans="1:8" x14ac:dyDescent="0.25">
      <c r="A431" s="11">
        <v>46056</v>
      </c>
      <c r="B431" s="3" t="str">
        <f t="shared" si="43"/>
        <v>terça-feira</v>
      </c>
      <c r="C431" s="13"/>
      <c r="D431" s="16"/>
      <c r="E431" s="4" t="str">
        <f t="shared" si="44"/>
        <v xml:space="preserve"> </v>
      </c>
      <c r="F431" s="3">
        <f t="shared" si="45"/>
        <v>2</v>
      </c>
      <c r="G431" s="3">
        <f t="shared" si="46"/>
        <v>2026</v>
      </c>
      <c r="H431" s="6" t="str">
        <f>IF(A431&lt;&gt;" ",G431&amp;"-"&amp;F431&amp;"-"&amp;COUNTIFS($G$2:G431,G431,$F$2:F431,F431)," ")</f>
        <v>2026-2-3</v>
      </c>
    </row>
    <row r="432" spans="1:8" x14ac:dyDescent="0.25">
      <c r="A432" s="11">
        <v>46057</v>
      </c>
      <c r="B432" s="3" t="str">
        <f t="shared" si="43"/>
        <v>quarta-feira</v>
      </c>
      <c r="C432" s="13"/>
      <c r="D432" s="16"/>
      <c r="E432" s="4" t="str">
        <f t="shared" si="44"/>
        <v xml:space="preserve"> </v>
      </c>
      <c r="F432" s="3">
        <f t="shared" si="45"/>
        <v>2</v>
      </c>
      <c r="G432" s="3">
        <f t="shared" si="46"/>
        <v>2026</v>
      </c>
      <c r="H432" s="6" t="str">
        <f>IF(A432&lt;&gt;" ",G432&amp;"-"&amp;F432&amp;"-"&amp;COUNTIFS($G$2:G432,G432,$F$2:F432,F432)," ")</f>
        <v>2026-2-4</v>
      </c>
    </row>
    <row r="433" spans="1:8" x14ac:dyDescent="0.25">
      <c r="A433" s="11">
        <v>46058</v>
      </c>
      <c r="B433" s="3" t="str">
        <f t="shared" si="43"/>
        <v>quinta-feira</v>
      </c>
      <c r="C433" s="13"/>
      <c r="D433" s="16"/>
      <c r="E433" s="4" t="str">
        <f t="shared" si="44"/>
        <v xml:space="preserve"> </v>
      </c>
      <c r="F433" s="3">
        <f t="shared" si="45"/>
        <v>2</v>
      </c>
      <c r="G433" s="3">
        <f t="shared" si="46"/>
        <v>2026</v>
      </c>
      <c r="H433" s="6" t="str">
        <f>IF(A433&lt;&gt;" ",G433&amp;"-"&amp;F433&amp;"-"&amp;COUNTIFS($G$2:G433,G433,$F$2:F433,F433)," ")</f>
        <v>2026-2-5</v>
      </c>
    </row>
    <row r="434" spans="1:8" x14ac:dyDescent="0.25">
      <c r="A434" s="11">
        <v>46059</v>
      </c>
      <c r="B434" s="3" t="str">
        <f t="shared" si="43"/>
        <v>sexta-feira</v>
      </c>
      <c r="C434" s="13"/>
      <c r="D434" s="16"/>
      <c r="E434" s="4" t="str">
        <f t="shared" si="44"/>
        <v xml:space="preserve"> </v>
      </c>
      <c r="F434" s="3">
        <f t="shared" si="45"/>
        <v>2</v>
      </c>
      <c r="G434" s="3">
        <f t="shared" si="46"/>
        <v>2026</v>
      </c>
      <c r="H434" s="6" t="str">
        <f>IF(A434&lt;&gt;" ",G434&amp;"-"&amp;F434&amp;"-"&amp;COUNTIFS($G$2:G434,G434,$F$2:F434,F434)," ")</f>
        <v>2026-2-6</v>
      </c>
    </row>
    <row r="435" spans="1:8" x14ac:dyDescent="0.25">
      <c r="A435" s="11">
        <v>46060</v>
      </c>
      <c r="B435" s="3" t="str">
        <f t="shared" si="43"/>
        <v>sábado</v>
      </c>
      <c r="C435" s="13"/>
      <c r="D435" s="16"/>
      <c r="E435" s="4" t="str">
        <f t="shared" si="44"/>
        <v xml:space="preserve"> </v>
      </c>
      <c r="F435" s="3">
        <f t="shared" si="45"/>
        <v>2</v>
      </c>
      <c r="G435" s="3">
        <f t="shared" si="46"/>
        <v>2026</v>
      </c>
      <c r="H435" s="6" t="str">
        <f>IF(A435&lt;&gt;" ",G435&amp;"-"&amp;F435&amp;"-"&amp;COUNTIFS($G$2:G435,G435,$F$2:F435,F435)," ")</f>
        <v>2026-2-7</v>
      </c>
    </row>
    <row r="436" spans="1:8" x14ac:dyDescent="0.25">
      <c r="A436" s="11">
        <v>46061</v>
      </c>
      <c r="B436" s="3" t="str">
        <f t="shared" si="43"/>
        <v>domingo</v>
      </c>
      <c r="C436" s="13"/>
      <c r="D436" s="16"/>
      <c r="E436" s="4" t="str">
        <f t="shared" si="44"/>
        <v xml:space="preserve"> </v>
      </c>
      <c r="F436" s="3">
        <f t="shared" si="45"/>
        <v>2</v>
      </c>
      <c r="G436" s="3">
        <f t="shared" si="46"/>
        <v>2026</v>
      </c>
      <c r="H436" s="6" t="str">
        <f>IF(A436&lt;&gt;" ",G436&amp;"-"&amp;F436&amp;"-"&amp;COUNTIFS($G$2:G436,G436,$F$2:F436,F436)," ")</f>
        <v>2026-2-8</v>
      </c>
    </row>
    <row r="437" spans="1:8" x14ac:dyDescent="0.25">
      <c r="A437" s="11">
        <v>46062</v>
      </c>
      <c r="B437" s="3" t="str">
        <f t="shared" si="43"/>
        <v>segunda-feira</v>
      </c>
      <c r="C437" s="13"/>
      <c r="D437" s="16"/>
      <c r="E437" s="4" t="str">
        <f t="shared" si="44"/>
        <v xml:space="preserve"> </v>
      </c>
      <c r="F437" s="3">
        <f t="shared" si="45"/>
        <v>2</v>
      </c>
      <c r="G437" s="3">
        <f t="shared" si="46"/>
        <v>2026</v>
      </c>
      <c r="H437" s="6" t="str">
        <f>IF(A437&lt;&gt;" ",G437&amp;"-"&amp;F437&amp;"-"&amp;COUNTIFS($G$2:G437,G437,$F$2:F437,F437)," ")</f>
        <v>2026-2-9</v>
      </c>
    </row>
    <row r="438" spans="1:8" x14ac:dyDescent="0.25">
      <c r="A438" s="11">
        <v>46063</v>
      </c>
      <c r="B438" s="3" t="str">
        <f t="shared" si="43"/>
        <v>terça-feira</v>
      </c>
      <c r="C438" s="13"/>
      <c r="D438" s="16"/>
      <c r="E438" s="4" t="str">
        <f t="shared" si="44"/>
        <v xml:space="preserve"> </v>
      </c>
      <c r="F438" s="3">
        <f t="shared" si="45"/>
        <v>2</v>
      </c>
      <c r="G438" s="3">
        <f t="shared" si="46"/>
        <v>2026</v>
      </c>
      <c r="H438" s="6" t="str">
        <f>IF(A438&lt;&gt;" ",G438&amp;"-"&amp;F438&amp;"-"&amp;COUNTIFS($G$2:G438,G438,$F$2:F438,F438)," ")</f>
        <v>2026-2-10</v>
      </c>
    </row>
    <row r="439" spans="1:8" x14ac:dyDescent="0.25">
      <c r="A439" s="11">
        <v>46064</v>
      </c>
      <c r="B439" s="3" t="str">
        <f t="shared" si="43"/>
        <v>quarta-feira</v>
      </c>
      <c r="C439" s="13"/>
      <c r="D439" s="16"/>
      <c r="E439" s="4" t="str">
        <f t="shared" si="44"/>
        <v xml:space="preserve"> </v>
      </c>
      <c r="F439" s="3">
        <f t="shared" si="45"/>
        <v>2</v>
      </c>
      <c r="G439" s="3">
        <f t="shared" si="46"/>
        <v>2026</v>
      </c>
      <c r="H439" s="6" t="str">
        <f>IF(A439&lt;&gt;" ",G439&amp;"-"&amp;F439&amp;"-"&amp;COUNTIFS($G$2:G439,G439,$F$2:F439,F439)," ")</f>
        <v>2026-2-11</v>
      </c>
    </row>
    <row r="440" spans="1:8" x14ac:dyDescent="0.25">
      <c r="A440" s="11">
        <v>46065</v>
      </c>
      <c r="B440" s="3" t="str">
        <f t="shared" si="43"/>
        <v>quinta-feira</v>
      </c>
      <c r="C440" s="13"/>
      <c r="D440" s="16"/>
      <c r="E440" s="4" t="str">
        <f t="shared" si="44"/>
        <v xml:space="preserve"> </v>
      </c>
      <c r="F440" s="3">
        <f t="shared" si="45"/>
        <v>2</v>
      </c>
      <c r="G440" s="3">
        <f t="shared" si="46"/>
        <v>2026</v>
      </c>
      <c r="H440" s="6" t="str">
        <f>IF(A440&lt;&gt;" ",G440&amp;"-"&amp;F440&amp;"-"&amp;COUNTIFS($G$2:G440,G440,$F$2:F440,F440)," ")</f>
        <v>2026-2-12</v>
      </c>
    </row>
    <row r="441" spans="1:8" x14ac:dyDescent="0.25">
      <c r="A441" s="11">
        <v>46066</v>
      </c>
      <c r="B441" s="3" t="str">
        <f t="shared" si="43"/>
        <v>sexta-feira</v>
      </c>
      <c r="C441" s="13"/>
      <c r="D441" s="16"/>
      <c r="E441" s="4" t="str">
        <f t="shared" si="44"/>
        <v xml:space="preserve"> </v>
      </c>
      <c r="F441" s="3">
        <f t="shared" si="45"/>
        <v>2</v>
      </c>
      <c r="G441" s="3">
        <f t="shared" si="46"/>
        <v>2026</v>
      </c>
      <c r="H441" s="6" t="str">
        <f>IF(A441&lt;&gt;" ",G441&amp;"-"&amp;F441&amp;"-"&amp;COUNTIFS($G$2:G441,G441,$F$2:F441,F441)," ")</f>
        <v>2026-2-13</v>
      </c>
    </row>
    <row r="442" spans="1:8" x14ac:dyDescent="0.25">
      <c r="A442" s="11">
        <v>46067</v>
      </c>
      <c r="B442" s="3" t="str">
        <f t="shared" si="43"/>
        <v>sábado</v>
      </c>
      <c r="C442" s="13"/>
      <c r="D442" s="16"/>
      <c r="E442" s="4" t="str">
        <f t="shared" si="44"/>
        <v xml:space="preserve"> </v>
      </c>
      <c r="F442" s="3">
        <f t="shared" si="45"/>
        <v>2</v>
      </c>
      <c r="G442" s="3">
        <f t="shared" si="46"/>
        <v>2026</v>
      </c>
      <c r="H442" s="6" t="str">
        <f>IF(A442&lt;&gt;" ",G442&amp;"-"&amp;F442&amp;"-"&amp;COUNTIFS($G$2:G442,G442,$F$2:F442,F442)," ")</f>
        <v>2026-2-14</v>
      </c>
    </row>
    <row r="443" spans="1:8" x14ac:dyDescent="0.25">
      <c r="A443" s="11">
        <v>46068</v>
      </c>
      <c r="B443" s="3" t="str">
        <f t="shared" si="43"/>
        <v>domingo</v>
      </c>
      <c r="C443" s="13"/>
      <c r="D443" s="16"/>
      <c r="E443" s="4" t="str">
        <f t="shared" si="44"/>
        <v xml:space="preserve"> </v>
      </c>
      <c r="F443" s="3">
        <f t="shared" si="45"/>
        <v>2</v>
      </c>
      <c r="G443" s="3">
        <f t="shared" si="46"/>
        <v>2026</v>
      </c>
      <c r="H443" s="6" t="str">
        <f>IF(A443&lt;&gt;" ",G443&amp;"-"&amp;F443&amp;"-"&amp;COUNTIFS($G$2:G443,G443,$F$2:F443,F443)," ")</f>
        <v>2026-2-15</v>
      </c>
    </row>
    <row r="444" spans="1:8" x14ac:dyDescent="0.25">
      <c r="A444" s="11">
        <v>46069</v>
      </c>
      <c r="B444" s="3" t="str">
        <f t="shared" si="43"/>
        <v>segunda-feira</v>
      </c>
      <c r="C444" s="13"/>
      <c r="D444" s="16"/>
      <c r="E444" s="4" t="str">
        <f t="shared" si="44"/>
        <v xml:space="preserve"> </v>
      </c>
      <c r="F444" s="3">
        <f t="shared" si="45"/>
        <v>2</v>
      </c>
      <c r="G444" s="3">
        <f t="shared" si="46"/>
        <v>2026</v>
      </c>
      <c r="H444" s="6" t="str">
        <f>IF(A444&lt;&gt;" ",G444&amp;"-"&amp;F444&amp;"-"&amp;COUNTIFS($G$2:G444,G444,$F$2:F444,F444)," ")</f>
        <v>2026-2-16</v>
      </c>
    </row>
    <row r="445" spans="1:8" x14ac:dyDescent="0.25">
      <c r="A445" s="11">
        <v>46070</v>
      </c>
      <c r="B445" s="3" t="str">
        <f t="shared" si="43"/>
        <v>terça-feira</v>
      </c>
      <c r="C445" s="13"/>
      <c r="D445" s="16"/>
      <c r="E445" s="4" t="str">
        <f t="shared" si="44"/>
        <v xml:space="preserve"> </v>
      </c>
      <c r="F445" s="3">
        <f t="shared" si="45"/>
        <v>2</v>
      </c>
      <c r="G445" s="3">
        <f t="shared" si="46"/>
        <v>2026</v>
      </c>
      <c r="H445" s="6" t="str">
        <f>IF(A445&lt;&gt;" ",G445&amp;"-"&amp;F445&amp;"-"&amp;COUNTIFS($G$2:G445,G445,$F$2:F445,F445)," ")</f>
        <v>2026-2-17</v>
      </c>
    </row>
    <row r="446" spans="1:8" x14ac:dyDescent="0.25">
      <c r="A446" s="11">
        <v>46071</v>
      </c>
      <c r="B446" s="3" t="str">
        <f t="shared" si="43"/>
        <v>quarta-feira</v>
      </c>
      <c r="C446" s="13"/>
      <c r="D446" s="16"/>
      <c r="E446" s="4" t="str">
        <f t="shared" si="44"/>
        <v xml:space="preserve"> </v>
      </c>
      <c r="F446" s="3">
        <f t="shared" si="45"/>
        <v>2</v>
      </c>
      <c r="G446" s="3">
        <f t="shared" si="46"/>
        <v>2026</v>
      </c>
      <c r="H446" s="6" t="str">
        <f>IF(A446&lt;&gt;" ",G446&amp;"-"&amp;F446&amp;"-"&amp;COUNTIFS($G$2:G446,G446,$F$2:F446,F446)," ")</f>
        <v>2026-2-18</v>
      </c>
    </row>
    <row r="447" spans="1:8" x14ac:dyDescent="0.25">
      <c r="A447" s="11">
        <v>46072</v>
      </c>
      <c r="B447" s="3" t="str">
        <f t="shared" si="43"/>
        <v>quinta-feira</v>
      </c>
      <c r="C447" s="13"/>
      <c r="D447" s="16"/>
      <c r="E447" s="4" t="str">
        <f t="shared" si="44"/>
        <v xml:space="preserve"> </v>
      </c>
      <c r="F447" s="3">
        <f t="shared" si="45"/>
        <v>2</v>
      </c>
      <c r="G447" s="3">
        <f t="shared" si="46"/>
        <v>2026</v>
      </c>
      <c r="H447" s="6" t="str">
        <f>IF(A447&lt;&gt;" ",G447&amp;"-"&amp;F447&amp;"-"&amp;COUNTIFS($G$2:G447,G447,$F$2:F447,F447)," ")</f>
        <v>2026-2-19</v>
      </c>
    </row>
    <row r="448" spans="1:8" x14ac:dyDescent="0.25">
      <c r="A448" s="11">
        <v>46073</v>
      </c>
      <c r="B448" s="3" t="str">
        <f t="shared" si="43"/>
        <v>sexta-feira</v>
      </c>
      <c r="C448" s="13"/>
      <c r="D448" s="16"/>
      <c r="E448" s="4" t="str">
        <f t="shared" si="44"/>
        <v xml:space="preserve"> </v>
      </c>
      <c r="F448" s="3">
        <f t="shared" si="45"/>
        <v>2</v>
      </c>
      <c r="G448" s="3">
        <f t="shared" si="46"/>
        <v>2026</v>
      </c>
      <c r="H448" s="6" t="str">
        <f>IF(A448&lt;&gt;" ",G448&amp;"-"&amp;F448&amp;"-"&amp;COUNTIFS($G$2:G448,G448,$F$2:F448,F448)," ")</f>
        <v>2026-2-20</v>
      </c>
    </row>
    <row r="449" spans="1:8" x14ac:dyDescent="0.25">
      <c r="A449" s="11">
        <v>46074</v>
      </c>
      <c r="B449" s="3" t="str">
        <f t="shared" si="43"/>
        <v>sábado</v>
      </c>
      <c r="C449" s="13"/>
      <c r="D449" s="16"/>
      <c r="E449" s="4" t="str">
        <f t="shared" si="44"/>
        <v xml:space="preserve"> </v>
      </c>
      <c r="F449" s="3">
        <f t="shared" si="45"/>
        <v>2</v>
      </c>
      <c r="G449" s="3">
        <f t="shared" si="46"/>
        <v>2026</v>
      </c>
      <c r="H449" s="6" t="str">
        <f>IF(A449&lt;&gt;" ",G449&amp;"-"&amp;F449&amp;"-"&amp;COUNTIFS($G$2:G449,G449,$F$2:F449,F449)," ")</f>
        <v>2026-2-21</v>
      </c>
    </row>
    <row r="450" spans="1:8" x14ac:dyDescent="0.25">
      <c r="A450" s="11">
        <v>46075</v>
      </c>
      <c r="B450" s="3" t="str">
        <f t="shared" si="43"/>
        <v>domingo</v>
      </c>
      <c r="C450" s="13"/>
      <c r="D450" s="16"/>
      <c r="E450" s="4" t="str">
        <f t="shared" si="44"/>
        <v xml:space="preserve"> </v>
      </c>
      <c r="F450" s="3">
        <f t="shared" si="45"/>
        <v>2</v>
      </c>
      <c r="G450" s="3">
        <f t="shared" si="46"/>
        <v>2026</v>
      </c>
      <c r="H450" s="6" t="str">
        <f>IF(A450&lt;&gt;" ",G450&amp;"-"&amp;F450&amp;"-"&amp;COUNTIFS($G$2:G450,G450,$F$2:F450,F450)," ")</f>
        <v>2026-2-22</v>
      </c>
    </row>
    <row r="451" spans="1:8" x14ac:dyDescent="0.25">
      <c r="A451" s="11">
        <v>46076</v>
      </c>
      <c r="B451" s="3" t="str">
        <f t="shared" si="43"/>
        <v>segunda-feira</v>
      </c>
      <c r="C451" s="13"/>
      <c r="D451" s="16"/>
      <c r="E451" s="4" t="str">
        <f t="shared" si="44"/>
        <v xml:space="preserve"> </v>
      </c>
      <c r="F451" s="3">
        <f t="shared" si="45"/>
        <v>2</v>
      </c>
      <c r="G451" s="3">
        <f t="shared" si="46"/>
        <v>2026</v>
      </c>
      <c r="H451" s="6" t="str">
        <f>IF(A451&lt;&gt;" ",G451&amp;"-"&amp;F451&amp;"-"&amp;COUNTIFS($G$2:G451,G451,$F$2:F451,F451)," ")</f>
        <v>2026-2-23</v>
      </c>
    </row>
    <row r="452" spans="1:8" x14ac:dyDescent="0.25">
      <c r="A452" s="11">
        <v>46077</v>
      </c>
      <c r="B452" s="3" t="str">
        <f t="shared" si="43"/>
        <v>terça-feira</v>
      </c>
      <c r="C452" s="13"/>
      <c r="D452" s="16"/>
      <c r="E452" s="4" t="str">
        <f t="shared" si="44"/>
        <v xml:space="preserve"> </v>
      </c>
      <c r="F452" s="3">
        <f t="shared" si="45"/>
        <v>2</v>
      </c>
      <c r="G452" s="3">
        <f t="shared" si="46"/>
        <v>2026</v>
      </c>
      <c r="H452" s="6" t="str">
        <f>IF(A452&lt;&gt;" ",G452&amp;"-"&amp;F452&amp;"-"&amp;COUNTIFS($G$2:G452,G452,$F$2:F452,F452)," ")</f>
        <v>2026-2-24</v>
      </c>
    </row>
    <row r="453" spans="1:8" x14ac:dyDescent="0.25">
      <c r="A453" s="11">
        <v>46078</v>
      </c>
      <c r="B453" s="3" t="str">
        <f t="shared" si="43"/>
        <v>quarta-feira</v>
      </c>
      <c r="C453" s="13"/>
      <c r="D453" s="16"/>
      <c r="E453" s="4" t="str">
        <f t="shared" si="44"/>
        <v xml:space="preserve"> </v>
      </c>
      <c r="F453" s="3">
        <f t="shared" si="45"/>
        <v>2</v>
      </c>
      <c r="G453" s="3">
        <f t="shared" si="46"/>
        <v>2026</v>
      </c>
      <c r="H453" s="6" t="str">
        <f>IF(A453&lt;&gt;" ",G453&amp;"-"&amp;F453&amp;"-"&amp;COUNTIFS($G$2:G453,G453,$F$2:F453,F453)," ")</f>
        <v>2026-2-25</v>
      </c>
    </row>
    <row r="454" spans="1:8" x14ac:dyDescent="0.25">
      <c r="A454" s="11">
        <v>46079</v>
      </c>
      <c r="B454" s="3" t="str">
        <f t="shared" si="43"/>
        <v>quinta-feira</v>
      </c>
      <c r="C454" s="13"/>
      <c r="D454" s="16"/>
      <c r="E454" s="4" t="str">
        <f t="shared" si="44"/>
        <v xml:space="preserve"> </v>
      </c>
      <c r="F454" s="3">
        <f t="shared" si="45"/>
        <v>2</v>
      </c>
      <c r="G454" s="3">
        <f t="shared" si="46"/>
        <v>2026</v>
      </c>
      <c r="H454" s="6" t="str">
        <f>IF(A454&lt;&gt;" ",G454&amp;"-"&amp;F454&amp;"-"&amp;COUNTIFS($G$2:G454,G454,$F$2:F454,F454)," ")</f>
        <v>2026-2-26</v>
      </c>
    </row>
    <row r="455" spans="1:8" x14ac:dyDescent="0.25">
      <c r="A455" s="11">
        <v>46080</v>
      </c>
      <c r="B455" s="3" t="str">
        <f t="shared" si="43"/>
        <v>sexta-feira</v>
      </c>
      <c r="C455" s="13"/>
      <c r="D455" s="16"/>
      <c r="E455" s="4" t="str">
        <f t="shared" si="44"/>
        <v xml:space="preserve"> </v>
      </c>
      <c r="F455" s="3">
        <f t="shared" si="45"/>
        <v>2</v>
      </c>
      <c r="G455" s="3">
        <f t="shared" si="46"/>
        <v>2026</v>
      </c>
      <c r="H455" s="6" t="str">
        <f>IF(A455&lt;&gt;" ",G455&amp;"-"&amp;F455&amp;"-"&amp;COUNTIFS($G$2:G455,G455,$F$2:F455,F455)," ")</f>
        <v>2026-2-27</v>
      </c>
    </row>
    <row r="456" spans="1:8" x14ac:dyDescent="0.25">
      <c r="A456" s="11">
        <v>46081</v>
      </c>
      <c r="B456" s="3" t="str">
        <f t="shared" si="43"/>
        <v>sábado</v>
      </c>
      <c r="C456" s="13"/>
      <c r="D456" s="16"/>
      <c r="E456" s="4" t="str">
        <f t="shared" si="44"/>
        <v xml:space="preserve"> </v>
      </c>
      <c r="F456" s="3">
        <f t="shared" si="45"/>
        <v>2</v>
      </c>
      <c r="G456" s="3">
        <f t="shared" si="46"/>
        <v>2026</v>
      </c>
      <c r="H456" s="6" t="str">
        <f>IF(A456&lt;&gt;" ",G456&amp;"-"&amp;F456&amp;"-"&amp;COUNTIFS($G$2:G456,G456,$F$2:F456,F456)," ")</f>
        <v>2026-2-28</v>
      </c>
    </row>
    <row r="457" spans="1:8" x14ac:dyDescent="0.25">
      <c r="A457" s="11">
        <v>46082</v>
      </c>
      <c r="B457" s="3" t="str">
        <f t="shared" si="43"/>
        <v>domingo</v>
      </c>
      <c r="C457" s="13"/>
      <c r="D457" s="16"/>
      <c r="E457" s="4" t="str">
        <f t="shared" si="44"/>
        <v xml:space="preserve"> </v>
      </c>
      <c r="F457" s="3">
        <f t="shared" si="45"/>
        <v>3</v>
      </c>
      <c r="G457" s="3">
        <f t="shared" si="46"/>
        <v>2026</v>
      </c>
      <c r="H457" s="6" t="str">
        <f>IF(A457&lt;&gt;" ",G457&amp;"-"&amp;F457&amp;"-"&amp;COUNTIFS($G$2:G457,G457,$F$2:F457,F457)," ")</f>
        <v>2026-3-1</v>
      </c>
    </row>
    <row r="458" spans="1:8" x14ac:dyDescent="0.25">
      <c r="A458" s="11">
        <v>46083</v>
      </c>
      <c r="B458" s="3" t="str">
        <f t="shared" si="43"/>
        <v>segunda-feira</v>
      </c>
      <c r="C458" s="13"/>
      <c r="D458" s="16"/>
      <c r="E458" s="4" t="str">
        <f t="shared" si="44"/>
        <v xml:space="preserve"> </v>
      </c>
      <c r="F458" s="3">
        <f t="shared" si="45"/>
        <v>3</v>
      </c>
      <c r="G458" s="3">
        <f t="shared" si="46"/>
        <v>2026</v>
      </c>
      <c r="H458" s="6" t="str">
        <f>IF(A458&lt;&gt;" ",G458&amp;"-"&amp;F458&amp;"-"&amp;COUNTIFS($G$2:G458,G458,$F$2:F458,F458)," ")</f>
        <v>2026-3-2</v>
      </c>
    </row>
    <row r="459" spans="1:8" x14ac:dyDescent="0.25">
      <c r="A459" s="11">
        <v>46084</v>
      </c>
      <c r="B459" s="3" t="str">
        <f t="shared" si="43"/>
        <v>terça-feira</v>
      </c>
      <c r="C459" s="13"/>
      <c r="D459" s="16"/>
      <c r="E459" s="4" t="str">
        <f t="shared" si="44"/>
        <v xml:space="preserve"> </v>
      </c>
      <c r="F459" s="3">
        <f t="shared" si="45"/>
        <v>3</v>
      </c>
      <c r="G459" s="3">
        <f t="shared" si="46"/>
        <v>2026</v>
      </c>
      <c r="H459" s="6" t="str">
        <f>IF(A459&lt;&gt;" ",G459&amp;"-"&amp;F459&amp;"-"&amp;COUNTIFS($G$2:G459,G459,$F$2:F459,F459)," ")</f>
        <v>2026-3-3</v>
      </c>
    </row>
    <row r="460" spans="1:8" x14ac:dyDescent="0.25">
      <c r="A460" s="11">
        <v>46085</v>
      </c>
      <c r="B460" s="3" t="str">
        <f t="shared" si="43"/>
        <v>quarta-feira</v>
      </c>
      <c r="C460" s="13"/>
      <c r="D460" s="16"/>
      <c r="E460" s="4" t="str">
        <f t="shared" si="44"/>
        <v xml:space="preserve"> </v>
      </c>
      <c r="F460" s="3">
        <f t="shared" si="45"/>
        <v>3</v>
      </c>
      <c r="G460" s="3">
        <f t="shared" si="46"/>
        <v>2026</v>
      </c>
      <c r="H460" s="6" t="str">
        <f>IF(A460&lt;&gt;" ",G460&amp;"-"&amp;F460&amp;"-"&amp;COUNTIFS($G$2:G460,G460,$F$2:F460,F460)," ")</f>
        <v>2026-3-4</v>
      </c>
    </row>
    <row r="461" spans="1:8" x14ac:dyDescent="0.25">
      <c r="A461" s="11">
        <v>46086</v>
      </c>
      <c r="B461" s="3" t="str">
        <f t="shared" si="43"/>
        <v>quinta-feira</v>
      </c>
      <c r="C461" s="13"/>
      <c r="D461" s="16"/>
      <c r="E461" s="4" t="str">
        <f t="shared" si="44"/>
        <v xml:space="preserve"> </v>
      </c>
      <c r="F461" s="3">
        <f t="shared" si="45"/>
        <v>3</v>
      </c>
      <c r="G461" s="3">
        <f t="shared" si="46"/>
        <v>2026</v>
      </c>
      <c r="H461" s="6" t="str">
        <f>IF(A461&lt;&gt;" ",G461&amp;"-"&amp;F461&amp;"-"&amp;COUNTIFS($G$2:G461,G461,$F$2:F461,F461)," ")</f>
        <v>2026-3-5</v>
      </c>
    </row>
    <row r="462" spans="1:8" x14ac:dyDescent="0.25">
      <c r="A462" s="11">
        <v>46087</v>
      </c>
      <c r="B462" s="3" t="str">
        <f t="shared" si="43"/>
        <v>sexta-feira</v>
      </c>
      <c r="C462" s="13"/>
      <c r="D462" s="16"/>
      <c r="E462" s="4" t="str">
        <f t="shared" si="44"/>
        <v xml:space="preserve"> </v>
      </c>
      <c r="F462" s="3">
        <f t="shared" si="45"/>
        <v>3</v>
      </c>
      <c r="G462" s="3">
        <f t="shared" si="46"/>
        <v>2026</v>
      </c>
      <c r="H462" s="6" t="str">
        <f>IF(A462&lt;&gt;" ",G462&amp;"-"&amp;F462&amp;"-"&amp;COUNTIFS($G$2:G462,G462,$F$2:F462,F462)," ")</f>
        <v>2026-3-6</v>
      </c>
    </row>
    <row r="463" spans="1:8" x14ac:dyDescent="0.25">
      <c r="A463" s="11">
        <v>46088</v>
      </c>
      <c r="B463" s="3" t="str">
        <f t="shared" si="43"/>
        <v>sábado</v>
      </c>
      <c r="C463" s="13"/>
      <c r="D463" s="16"/>
      <c r="E463" s="4" t="str">
        <f t="shared" si="44"/>
        <v xml:space="preserve"> </v>
      </c>
      <c r="F463" s="3">
        <f t="shared" si="45"/>
        <v>3</v>
      </c>
      <c r="G463" s="3">
        <f t="shared" si="46"/>
        <v>2026</v>
      </c>
      <c r="H463" s="6" t="str">
        <f>IF(A463&lt;&gt;" ",G463&amp;"-"&amp;F463&amp;"-"&amp;COUNTIFS($G$2:G463,G463,$F$2:F463,F463)," ")</f>
        <v>2026-3-7</v>
      </c>
    </row>
    <row r="464" spans="1:8" x14ac:dyDescent="0.25">
      <c r="A464" s="11">
        <v>46089</v>
      </c>
      <c r="B464" s="3" t="str">
        <f t="shared" si="43"/>
        <v>domingo</v>
      </c>
      <c r="C464" s="13"/>
      <c r="D464" s="16"/>
      <c r="E464" s="4" t="str">
        <f t="shared" si="44"/>
        <v xml:space="preserve"> </v>
      </c>
      <c r="F464" s="3">
        <f t="shared" si="45"/>
        <v>3</v>
      </c>
      <c r="G464" s="3">
        <f t="shared" si="46"/>
        <v>2026</v>
      </c>
      <c r="H464" s="6" t="str">
        <f>IF(A464&lt;&gt;" ",G464&amp;"-"&amp;F464&amp;"-"&amp;COUNTIFS($G$2:G464,G464,$F$2:F464,F464)," ")</f>
        <v>2026-3-8</v>
      </c>
    </row>
    <row r="465" spans="1:8" x14ac:dyDescent="0.25">
      <c r="A465" s="11">
        <v>46090</v>
      </c>
      <c r="B465" s="3" t="str">
        <f t="shared" si="43"/>
        <v>segunda-feira</v>
      </c>
      <c r="C465" s="13"/>
      <c r="D465" s="16"/>
      <c r="E465" s="4" t="str">
        <f t="shared" si="44"/>
        <v xml:space="preserve"> </v>
      </c>
      <c r="F465" s="3">
        <f t="shared" si="45"/>
        <v>3</v>
      </c>
      <c r="G465" s="3">
        <f t="shared" si="46"/>
        <v>2026</v>
      </c>
      <c r="H465" s="6" t="str">
        <f>IF(A465&lt;&gt;" ",G465&amp;"-"&amp;F465&amp;"-"&amp;COUNTIFS($G$2:G465,G465,$F$2:F465,F465)," ")</f>
        <v>2026-3-9</v>
      </c>
    </row>
    <row r="466" spans="1:8" x14ac:dyDescent="0.25">
      <c r="A466" s="11">
        <v>46091</v>
      </c>
      <c r="B466" s="3" t="str">
        <f t="shared" si="43"/>
        <v>terça-feira</v>
      </c>
      <c r="C466" s="13"/>
      <c r="D466" s="16"/>
      <c r="E466" s="4" t="str">
        <f t="shared" si="44"/>
        <v xml:space="preserve"> </v>
      </c>
      <c r="F466" s="3">
        <f t="shared" si="45"/>
        <v>3</v>
      </c>
      <c r="G466" s="3">
        <f t="shared" si="46"/>
        <v>2026</v>
      </c>
      <c r="H466" s="6" t="str">
        <f>IF(A466&lt;&gt;" ",G466&amp;"-"&amp;F466&amp;"-"&amp;COUNTIFS($G$2:G466,G466,$F$2:F466,F466)," ")</f>
        <v>2026-3-10</v>
      </c>
    </row>
    <row r="467" spans="1:8" x14ac:dyDescent="0.25">
      <c r="A467" s="11">
        <v>46092</v>
      </c>
      <c r="B467" s="3" t="str">
        <f t="shared" si="43"/>
        <v>quarta-feira</v>
      </c>
      <c r="C467" s="13"/>
      <c r="D467" s="16"/>
      <c r="E467" s="4" t="str">
        <f t="shared" si="44"/>
        <v xml:space="preserve"> </v>
      </c>
      <c r="F467" s="3">
        <f t="shared" si="45"/>
        <v>3</v>
      </c>
      <c r="G467" s="3">
        <f t="shared" si="46"/>
        <v>2026</v>
      </c>
      <c r="H467" s="6" t="str">
        <f>IF(A467&lt;&gt;" ",G467&amp;"-"&amp;F467&amp;"-"&amp;COUNTIFS($G$2:G467,G467,$F$2:F467,F467)," ")</f>
        <v>2026-3-11</v>
      </c>
    </row>
    <row r="468" spans="1:8" x14ac:dyDescent="0.25">
      <c r="A468" s="11">
        <v>46093</v>
      </c>
      <c r="B468" s="3" t="str">
        <f t="shared" si="43"/>
        <v>quinta-feira</v>
      </c>
      <c r="C468" s="13"/>
      <c r="D468" s="16"/>
      <c r="E468" s="4" t="str">
        <f t="shared" si="44"/>
        <v xml:space="preserve"> </v>
      </c>
      <c r="F468" s="3">
        <f t="shared" si="45"/>
        <v>3</v>
      </c>
      <c r="G468" s="3">
        <f t="shared" si="46"/>
        <v>2026</v>
      </c>
      <c r="H468" s="6" t="str">
        <f>IF(A468&lt;&gt;" ",G468&amp;"-"&amp;F468&amp;"-"&amp;COUNTIFS($G$2:G468,G468,$F$2:F468,F468)," ")</f>
        <v>2026-3-12</v>
      </c>
    </row>
    <row r="469" spans="1:8" x14ac:dyDescent="0.25">
      <c r="A469" s="11">
        <v>46094</v>
      </c>
      <c r="B469" s="3" t="str">
        <f t="shared" si="43"/>
        <v>sexta-feira</v>
      </c>
      <c r="C469" s="13"/>
      <c r="D469" s="16"/>
      <c r="E469" s="4" t="str">
        <f t="shared" si="44"/>
        <v xml:space="preserve"> </v>
      </c>
      <c r="F469" s="3">
        <f t="shared" si="45"/>
        <v>3</v>
      </c>
      <c r="G469" s="3">
        <f t="shared" si="46"/>
        <v>2026</v>
      </c>
      <c r="H469" s="6" t="str">
        <f>IF(A469&lt;&gt;" ",G469&amp;"-"&amp;F469&amp;"-"&amp;COUNTIFS($G$2:G469,G469,$F$2:F469,F469)," ")</f>
        <v>2026-3-13</v>
      </c>
    </row>
    <row r="470" spans="1:8" x14ac:dyDescent="0.25">
      <c r="A470" s="11">
        <v>46095</v>
      </c>
      <c r="B470" s="3" t="str">
        <f t="shared" si="43"/>
        <v>sábado</v>
      </c>
      <c r="C470" s="13"/>
      <c r="D470" s="16"/>
      <c r="E470" s="4" t="str">
        <f t="shared" si="44"/>
        <v xml:space="preserve"> </v>
      </c>
      <c r="F470" s="3">
        <f t="shared" si="45"/>
        <v>3</v>
      </c>
      <c r="G470" s="3">
        <f t="shared" si="46"/>
        <v>2026</v>
      </c>
      <c r="H470" s="6" t="str">
        <f>IF(A470&lt;&gt;" ",G470&amp;"-"&amp;F470&amp;"-"&amp;COUNTIFS($G$2:G470,G470,$F$2:F470,F470)," ")</f>
        <v>2026-3-14</v>
      </c>
    </row>
    <row r="471" spans="1:8" x14ac:dyDescent="0.25">
      <c r="A471" s="11">
        <v>46096</v>
      </c>
      <c r="B471" s="3" t="str">
        <f t="shared" si="43"/>
        <v>domingo</v>
      </c>
      <c r="C471" s="13"/>
      <c r="D471" s="16"/>
      <c r="E471" s="4" t="str">
        <f t="shared" si="44"/>
        <v xml:space="preserve"> </v>
      </c>
      <c r="F471" s="3">
        <f t="shared" si="45"/>
        <v>3</v>
      </c>
      <c r="G471" s="3">
        <f t="shared" si="46"/>
        <v>2026</v>
      </c>
      <c r="H471" s="6" t="str">
        <f>IF(A471&lt;&gt;" ",G471&amp;"-"&amp;F471&amp;"-"&amp;COUNTIFS($G$2:G471,G471,$F$2:F471,F471)," ")</f>
        <v>2026-3-15</v>
      </c>
    </row>
    <row r="472" spans="1:8" x14ac:dyDescent="0.25">
      <c r="A472" s="11">
        <v>46097</v>
      </c>
      <c r="B472" s="3" t="str">
        <f t="shared" si="43"/>
        <v>segunda-feira</v>
      </c>
      <c r="C472" s="13"/>
      <c r="D472" s="16"/>
      <c r="E472" s="4" t="str">
        <f t="shared" si="44"/>
        <v xml:space="preserve"> </v>
      </c>
      <c r="F472" s="3">
        <f t="shared" si="45"/>
        <v>3</v>
      </c>
      <c r="G472" s="3">
        <f t="shared" si="46"/>
        <v>2026</v>
      </c>
      <c r="H472" s="6" t="str">
        <f>IF(A472&lt;&gt;" ",G472&amp;"-"&amp;F472&amp;"-"&amp;COUNTIFS($G$2:G472,G472,$F$2:F472,F472)," ")</f>
        <v>2026-3-16</v>
      </c>
    </row>
    <row r="473" spans="1:8" x14ac:dyDescent="0.25">
      <c r="A473" s="11">
        <v>46098</v>
      </c>
      <c r="B473" s="3" t="str">
        <f t="shared" ref="B473:B536" si="47">IF(A473&lt;&gt;" ",TEXT(A473,"dddd")," ")</f>
        <v>terça-feira</v>
      </c>
      <c r="C473" s="13"/>
      <c r="D473" s="16"/>
      <c r="E473" s="4" t="str">
        <f t="shared" ref="E473:E536" si="48">IF(D473&gt;0,C473/D473," ")</f>
        <v xml:space="preserve"> </v>
      </c>
      <c r="F473" s="3">
        <f t="shared" ref="F473:F536" si="49">IF(A473&lt;&gt;" ",MONTH(A473)," ")</f>
        <v>3</v>
      </c>
      <c r="G473" s="3">
        <f t="shared" ref="G473:G536" si="50">IF(A473&lt;&gt;" ",YEAR(A473)," ")</f>
        <v>2026</v>
      </c>
      <c r="H473" s="6" t="str">
        <f>IF(A473&lt;&gt;" ",G473&amp;"-"&amp;F473&amp;"-"&amp;COUNTIFS($G$2:G473,G473,$F$2:F473,F473)," ")</f>
        <v>2026-3-17</v>
      </c>
    </row>
    <row r="474" spans="1:8" x14ac:dyDescent="0.25">
      <c r="A474" s="11">
        <v>46099</v>
      </c>
      <c r="B474" s="3" t="str">
        <f t="shared" si="47"/>
        <v>quarta-feira</v>
      </c>
      <c r="C474" s="13"/>
      <c r="D474" s="16"/>
      <c r="E474" s="4" t="str">
        <f t="shared" si="48"/>
        <v xml:space="preserve"> </v>
      </c>
      <c r="F474" s="3">
        <f t="shared" si="49"/>
        <v>3</v>
      </c>
      <c r="G474" s="3">
        <f t="shared" si="50"/>
        <v>2026</v>
      </c>
      <c r="H474" s="6" t="str">
        <f>IF(A474&lt;&gt;" ",G474&amp;"-"&amp;F474&amp;"-"&amp;COUNTIFS($G$2:G474,G474,$F$2:F474,F474)," ")</f>
        <v>2026-3-18</v>
      </c>
    </row>
    <row r="475" spans="1:8" x14ac:dyDescent="0.25">
      <c r="A475" s="11">
        <v>46100</v>
      </c>
      <c r="B475" s="3" t="str">
        <f t="shared" si="47"/>
        <v>quinta-feira</v>
      </c>
      <c r="C475" s="13"/>
      <c r="D475" s="16"/>
      <c r="E475" s="4" t="str">
        <f t="shared" si="48"/>
        <v xml:space="preserve"> </v>
      </c>
      <c r="F475" s="3">
        <f t="shared" si="49"/>
        <v>3</v>
      </c>
      <c r="G475" s="3">
        <f t="shared" si="50"/>
        <v>2026</v>
      </c>
      <c r="H475" s="6" t="str">
        <f>IF(A475&lt;&gt;" ",G475&amp;"-"&amp;F475&amp;"-"&amp;COUNTIFS($G$2:G475,G475,$F$2:F475,F475)," ")</f>
        <v>2026-3-19</v>
      </c>
    </row>
    <row r="476" spans="1:8" x14ac:dyDescent="0.25">
      <c r="A476" s="11">
        <v>46101</v>
      </c>
      <c r="B476" s="3" t="str">
        <f t="shared" si="47"/>
        <v>sexta-feira</v>
      </c>
      <c r="C476" s="13"/>
      <c r="D476" s="16"/>
      <c r="E476" s="4" t="str">
        <f t="shared" si="48"/>
        <v xml:space="preserve"> </v>
      </c>
      <c r="F476" s="3">
        <f t="shared" si="49"/>
        <v>3</v>
      </c>
      <c r="G476" s="3">
        <f t="shared" si="50"/>
        <v>2026</v>
      </c>
      <c r="H476" s="6" t="str">
        <f>IF(A476&lt;&gt;" ",G476&amp;"-"&amp;F476&amp;"-"&amp;COUNTIFS($G$2:G476,G476,$F$2:F476,F476)," ")</f>
        <v>2026-3-20</v>
      </c>
    </row>
    <row r="477" spans="1:8" x14ac:dyDescent="0.25">
      <c r="A477" s="11">
        <v>46102</v>
      </c>
      <c r="B477" s="3" t="str">
        <f t="shared" si="47"/>
        <v>sábado</v>
      </c>
      <c r="C477" s="13"/>
      <c r="D477" s="16"/>
      <c r="E477" s="4" t="str">
        <f t="shared" si="48"/>
        <v xml:space="preserve"> </v>
      </c>
      <c r="F477" s="3">
        <f t="shared" si="49"/>
        <v>3</v>
      </c>
      <c r="G477" s="3">
        <f t="shared" si="50"/>
        <v>2026</v>
      </c>
      <c r="H477" s="6" t="str">
        <f>IF(A477&lt;&gt;" ",G477&amp;"-"&amp;F477&amp;"-"&amp;COUNTIFS($G$2:G477,G477,$F$2:F477,F477)," ")</f>
        <v>2026-3-21</v>
      </c>
    </row>
    <row r="478" spans="1:8" x14ac:dyDescent="0.25">
      <c r="A478" s="11">
        <v>46103</v>
      </c>
      <c r="B478" s="3" t="str">
        <f t="shared" si="47"/>
        <v>domingo</v>
      </c>
      <c r="C478" s="13"/>
      <c r="D478" s="16"/>
      <c r="E478" s="4" t="str">
        <f t="shared" si="48"/>
        <v xml:space="preserve"> </v>
      </c>
      <c r="F478" s="3">
        <f t="shared" si="49"/>
        <v>3</v>
      </c>
      <c r="G478" s="3">
        <f t="shared" si="50"/>
        <v>2026</v>
      </c>
      <c r="H478" s="6" t="str">
        <f>IF(A478&lt;&gt;" ",G478&amp;"-"&amp;F478&amp;"-"&amp;COUNTIFS($G$2:G478,G478,$F$2:F478,F478)," ")</f>
        <v>2026-3-22</v>
      </c>
    </row>
    <row r="479" spans="1:8" x14ac:dyDescent="0.25">
      <c r="A479" s="11">
        <v>46104</v>
      </c>
      <c r="B479" s="3" t="str">
        <f t="shared" si="47"/>
        <v>segunda-feira</v>
      </c>
      <c r="C479" s="13"/>
      <c r="D479" s="16"/>
      <c r="E479" s="4" t="str">
        <f t="shared" si="48"/>
        <v xml:space="preserve"> </v>
      </c>
      <c r="F479" s="3">
        <f t="shared" si="49"/>
        <v>3</v>
      </c>
      <c r="G479" s="3">
        <f t="shared" si="50"/>
        <v>2026</v>
      </c>
      <c r="H479" s="6" t="str">
        <f>IF(A479&lt;&gt;" ",G479&amp;"-"&amp;F479&amp;"-"&amp;COUNTIFS($G$2:G479,G479,$F$2:F479,F479)," ")</f>
        <v>2026-3-23</v>
      </c>
    </row>
    <row r="480" spans="1:8" x14ac:dyDescent="0.25">
      <c r="A480" s="11">
        <v>46105</v>
      </c>
      <c r="B480" s="3" t="str">
        <f t="shared" si="47"/>
        <v>terça-feira</v>
      </c>
      <c r="C480" s="13"/>
      <c r="D480" s="16"/>
      <c r="E480" s="4" t="str">
        <f t="shared" si="48"/>
        <v xml:space="preserve"> </v>
      </c>
      <c r="F480" s="3">
        <f t="shared" si="49"/>
        <v>3</v>
      </c>
      <c r="G480" s="3">
        <f t="shared" si="50"/>
        <v>2026</v>
      </c>
      <c r="H480" s="6" t="str">
        <f>IF(A480&lt;&gt;" ",G480&amp;"-"&amp;F480&amp;"-"&amp;COUNTIFS($G$2:G480,G480,$F$2:F480,F480)," ")</f>
        <v>2026-3-24</v>
      </c>
    </row>
    <row r="481" spans="1:8" x14ac:dyDescent="0.25">
      <c r="A481" s="11">
        <v>46106</v>
      </c>
      <c r="B481" s="3" t="str">
        <f t="shared" si="47"/>
        <v>quarta-feira</v>
      </c>
      <c r="C481" s="13"/>
      <c r="D481" s="16"/>
      <c r="E481" s="4" t="str">
        <f t="shared" si="48"/>
        <v xml:space="preserve"> </v>
      </c>
      <c r="F481" s="3">
        <f t="shared" si="49"/>
        <v>3</v>
      </c>
      <c r="G481" s="3">
        <f t="shared" si="50"/>
        <v>2026</v>
      </c>
      <c r="H481" s="6" t="str">
        <f>IF(A481&lt;&gt;" ",G481&amp;"-"&amp;F481&amp;"-"&amp;COUNTIFS($G$2:G481,G481,$F$2:F481,F481)," ")</f>
        <v>2026-3-25</v>
      </c>
    </row>
    <row r="482" spans="1:8" x14ac:dyDescent="0.25">
      <c r="A482" s="11">
        <v>46107</v>
      </c>
      <c r="B482" s="3" t="str">
        <f t="shared" si="47"/>
        <v>quinta-feira</v>
      </c>
      <c r="C482" s="13"/>
      <c r="D482" s="16"/>
      <c r="E482" s="4" t="str">
        <f t="shared" si="48"/>
        <v xml:space="preserve"> </v>
      </c>
      <c r="F482" s="3">
        <f t="shared" si="49"/>
        <v>3</v>
      </c>
      <c r="G482" s="3">
        <f t="shared" si="50"/>
        <v>2026</v>
      </c>
      <c r="H482" s="6" t="str">
        <f>IF(A482&lt;&gt;" ",G482&amp;"-"&amp;F482&amp;"-"&amp;COUNTIFS($G$2:G482,G482,$F$2:F482,F482)," ")</f>
        <v>2026-3-26</v>
      </c>
    </row>
    <row r="483" spans="1:8" x14ac:dyDescent="0.25">
      <c r="A483" s="11">
        <v>46108</v>
      </c>
      <c r="B483" s="3" t="str">
        <f t="shared" si="47"/>
        <v>sexta-feira</v>
      </c>
      <c r="C483" s="13"/>
      <c r="D483" s="16"/>
      <c r="E483" s="4" t="str">
        <f t="shared" si="48"/>
        <v xml:space="preserve"> </v>
      </c>
      <c r="F483" s="3">
        <f t="shared" si="49"/>
        <v>3</v>
      </c>
      <c r="G483" s="3">
        <f t="shared" si="50"/>
        <v>2026</v>
      </c>
      <c r="H483" s="6" t="str">
        <f>IF(A483&lt;&gt;" ",G483&amp;"-"&amp;F483&amp;"-"&amp;COUNTIFS($G$2:G483,G483,$F$2:F483,F483)," ")</f>
        <v>2026-3-27</v>
      </c>
    </row>
    <row r="484" spans="1:8" x14ac:dyDescent="0.25">
      <c r="A484" s="11">
        <v>46109</v>
      </c>
      <c r="B484" s="3" t="str">
        <f t="shared" si="47"/>
        <v>sábado</v>
      </c>
      <c r="C484" s="13"/>
      <c r="D484" s="16"/>
      <c r="E484" s="4" t="str">
        <f t="shared" si="48"/>
        <v xml:space="preserve"> </v>
      </c>
      <c r="F484" s="3">
        <f t="shared" si="49"/>
        <v>3</v>
      </c>
      <c r="G484" s="3">
        <f t="shared" si="50"/>
        <v>2026</v>
      </c>
      <c r="H484" s="6" t="str">
        <f>IF(A484&lt;&gt;" ",G484&amp;"-"&amp;F484&amp;"-"&amp;COUNTIFS($G$2:G484,G484,$F$2:F484,F484)," ")</f>
        <v>2026-3-28</v>
      </c>
    </row>
    <row r="485" spans="1:8" x14ac:dyDescent="0.25">
      <c r="A485" s="11">
        <v>46110</v>
      </c>
      <c r="B485" s="3" t="str">
        <f t="shared" si="47"/>
        <v>domingo</v>
      </c>
      <c r="C485" s="13"/>
      <c r="D485" s="16"/>
      <c r="E485" s="4" t="str">
        <f t="shared" si="48"/>
        <v xml:space="preserve"> </v>
      </c>
      <c r="F485" s="3">
        <f t="shared" si="49"/>
        <v>3</v>
      </c>
      <c r="G485" s="3">
        <f t="shared" si="50"/>
        <v>2026</v>
      </c>
      <c r="H485" s="6" t="str">
        <f>IF(A485&lt;&gt;" ",G485&amp;"-"&amp;F485&amp;"-"&amp;COUNTIFS($G$2:G485,G485,$F$2:F485,F485)," ")</f>
        <v>2026-3-29</v>
      </c>
    </row>
    <row r="486" spans="1:8" x14ac:dyDescent="0.25">
      <c r="A486" s="11">
        <v>46111</v>
      </c>
      <c r="B486" s="3" t="str">
        <f t="shared" si="47"/>
        <v>segunda-feira</v>
      </c>
      <c r="C486" s="13"/>
      <c r="D486" s="16"/>
      <c r="E486" s="4" t="str">
        <f t="shared" si="48"/>
        <v xml:space="preserve"> </v>
      </c>
      <c r="F486" s="3">
        <f t="shared" si="49"/>
        <v>3</v>
      </c>
      <c r="G486" s="3">
        <f t="shared" si="50"/>
        <v>2026</v>
      </c>
      <c r="H486" s="6" t="str">
        <f>IF(A486&lt;&gt;" ",G486&amp;"-"&amp;F486&amp;"-"&amp;COUNTIFS($G$2:G486,G486,$F$2:F486,F486)," ")</f>
        <v>2026-3-30</v>
      </c>
    </row>
    <row r="487" spans="1:8" x14ac:dyDescent="0.25">
      <c r="A487" s="11">
        <v>46112</v>
      </c>
      <c r="B487" s="3" t="str">
        <f t="shared" si="47"/>
        <v>terça-feira</v>
      </c>
      <c r="C487" s="13"/>
      <c r="D487" s="16"/>
      <c r="E487" s="4" t="str">
        <f t="shared" si="48"/>
        <v xml:space="preserve"> </v>
      </c>
      <c r="F487" s="3">
        <f t="shared" si="49"/>
        <v>3</v>
      </c>
      <c r="G487" s="3">
        <f t="shared" si="50"/>
        <v>2026</v>
      </c>
      <c r="H487" s="6" t="str">
        <f>IF(A487&lt;&gt;" ",G487&amp;"-"&amp;F487&amp;"-"&amp;COUNTIFS($G$2:G487,G487,$F$2:F487,F487)," ")</f>
        <v>2026-3-31</v>
      </c>
    </row>
    <row r="488" spans="1:8" x14ac:dyDescent="0.25">
      <c r="A488" s="11">
        <v>46113</v>
      </c>
      <c r="B488" s="3" t="str">
        <f t="shared" si="47"/>
        <v>quarta-feira</v>
      </c>
      <c r="C488" s="13"/>
      <c r="D488" s="16"/>
      <c r="E488" s="4" t="str">
        <f t="shared" si="48"/>
        <v xml:space="preserve"> </v>
      </c>
      <c r="F488" s="3">
        <f t="shared" si="49"/>
        <v>4</v>
      </c>
      <c r="G488" s="3">
        <f t="shared" si="50"/>
        <v>2026</v>
      </c>
      <c r="H488" s="6" t="str">
        <f>IF(A488&lt;&gt;" ",G488&amp;"-"&amp;F488&amp;"-"&amp;COUNTIFS($G$2:G488,G488,$F$2:F488,F488)," ")</f>
        <v>2026-4-1</v>
      </c>
    </row>
    <row r="489" spans="1:8" x14ac:dyDescent="0.25">
      <c r="A489" s="11">
        <v>46114</v>
      </c>
      <c r="B489" s="3" t="str">
        <f t="shared" si="47"/>
        <v>quinta-feira</v>
      </c>
      <c r="C489" s="13"/>
      <c r="D489" s="16"/>
      <c r="E489" s="4" t="str">
        <f t="shared" si="48"/>
        <v xml:space="preserve"> </v>
      </c>
      <c r="F489" s="3">
        <f t="shared" si="49"/>
        <v>4</v>
      </c>
      <c r="G489" s="3">
        <f t="shared" si="50"/>
        <v>2026</v>
      </c>
      <c r="H489" s="6" t="str">
        <f>IF(A489&lt;&gt;" ",G489&amp;"-"&amp;F489&amp;"-"&amp;COUNTIFS($G$2:G489,G489,$F$2:F489,F489)," ")</f>
        <v>2026-4-2</v>
      </c>
    </row>
    <row r="490" spans="1:8" x14ac:dyDescent="0.25">
      <c r="A490" s="11">
        <v>46115</v>
      </c>
      <c r="B490" s="3" t="str">
        <f t="shared" si="47"/>
        <v>sexta-feira</v>
      </c>
      <c r="C490" s="13"/>
      <c r="D490" s="16"/>
      <c r="E490" s="4" t="str">
        <f t="shared" si="48"/>
        <v xml:space="preserve"> </v>
      </c>
      <c r="F490" s="3">
        <f t="shared" si="49"/>
        <v>4</v>
      </c>
      <c r="G490" s="3">
        <f t="shared" si="50"/>
        <v>2026</v>
      </c>
      <c r="H490" s="6" t="str">
        <f>IF(A490&lt;&gt;" ",G490&amp;"-"&amp;F490&amp;"-"&amp;COUNTIFS($G$2:G490,G490,$F$2:F490,F490)," ")</f>
        <v>2026-4-3</v>
      </c>
    </row>
    <row r="491" spans="1:8" x14ac:dyDescent="0.25">
      <c r="A491" s="11">
        <v>46116</v>
      </c>
      <c r="B491" s="3" t="str">
        <f t="shared" si="47"/>
        <v>sábado</v>
      </c>
      <c r="C491" s="13"/>
      <c r="D491" s="16"/>
      <c r="E491" s="4" t="str">
        <f t="shared" si="48"/>
        <v xml:space="preserve"> </v>
      </c>
      <c r="F491" s="3">
        <f t="shared" si="49"/>
        <v>4</v>
      </c>
      <c r="G491" s="3">
        <f t="shared" si="50"/>
        <v>2026</v>
      </c>
      <c r="H491" s="6" t="str">
        <f>IF(A491&lt;&gt;" ",G491&amp;"-"&amp;F491&amp;"-"&amp;COUNTIFS($G$2:G491,G491,$F$2:F491,F491)," ")</f>
        <v>2026-4-4</v>
      </c>
    </row>
    <row r="492" spans="1:8" x14ac:dyDescent="0.25">
      <c r="A492" s="11">
        <v>46117</v>
      </c>
      <c r="B492" s="3" t="str">
        <f t="shared" si="47"/>
        <v>domingo</v>
      </c>
      <c r="C492" s="13"/>
      <c r="D492" s="16"/>
      <c r="E492" s="4" t="str">
        <f t="shared" si="48"/>
        <v xml:space="preserve"> </v>
      </c>
      <c r="F492" s="3">
        <f t="shared" si="49"/>
        <v>4</v>
      </c>
      <c r="G492" s="3">
        <f t="shared" si="50"/>
        <v>2026</v>
      </c>
      <c r="H492" s="6" t="str">
        <f>IF(A492&lt;&gt;" ",G492&amp;"-"&amp;F492&amp;"-"&amp;COUNTIFS($G$2:G492,G492,$F$2:F492,F492)," ")</f>
        <v>2026-4-5</v>
      </c>
    </row>
    <row r="493" spans="1:8" x14ac:dyDescent="0.25">
      <c r="A493" s="11">
        <v>46118</v>
      </c>
      <c r="B493" s="3" t="str">
        <f t="shared" si="47"/>
        <v>segunda-feira</v>
      </c>
      <c r="C493" s="13"/>
      <c r="D493" s="16"/>
      <c r="E493" s="4" t="str">
        <f t="shared" si="48"/>
        <v xml:space="preserve"> </v>
      </c>
      <c r="F493" s="3">
        <f t="shared" si="49"/>
        <v>4</v>
      </c>
      <c r="G493" s="3">
        <f t="shared" si="50"/>
        <v>2026</v>
      </c>
      <c r="H493" s="6" t="str">
        <f>IF(A493&lt;&gt;" ",G493&amp;"-"&amp;F493&amp;"-"&amp;COUNTIFS($G$2:G493,G493,$F$2:F493,F493)," ")</f>
        <v>2026-4-6</v>
      </c>
    </row>
    <row r="494" spans="1:8" x14ac:dyDescent="0.25">
      <c r="A494" s="11">
        <v>46119</v>
      </c>
      <c r="B494" s="3" t="str">
        <f t="shared" si="47"/>
        <v>terça-feira</v>
      </c>
      <c r="C494" s="13"/>
      <c r="D494" s="16"/>
      <c r="E494" s="4" t="str">
        <f t="shared" si="48"/>
        <v xml:space="preserve"> </v>
      </c>
      <c r="F494" s="3">
        <f t="shared" si="49"/>
        <v>4</v>
      </c>
      <c r="G494" s="3">
        <f t="shared" si="50"/>
        <v>2026</v>
      </c>
      <c r="H494" s="6" t="str">
        <f>IF(A494&lt;&gt;" ",G494&amp;"-"&amp;F494&amp;"-"&amp;COUNTIFS($G$2:G494,G494,$F$2:F494,F494)," ")</f>
        <v>2026-4-7</v>
      </c>
    </row>
    <row r="495" spans="1:8" x14ac:dyDescent="0.25">
      <c r="A495" s="11">
        <v>46120</v>
      </c>
      <c r="B495" s="3" t="str">
        <f t="shared" si="47"/>
        <v>quarta-feira</v>
      </c>
      <c r="C495" s="13"/>
      <c r="D495" s="16"/>
      <c r="E495" s="4" t="str">
        <f t="shared" si="48"/>
        <v xml:space="preserve"> </v>
      </c>
      <c r="F495" s="3">
        <f t="shared" si="49"/>
        <v>4</v>
      </c>
      <c r="G495" s="3">
        <f t="shared" si="50"/>
        <v>2026</v>
      </c>
      <c r="H495" s="6" t="str">
        <f>IF(A495&lt;&gt;" ",G495&amp;"-"&amp;F495&amp;"-"&amp;COUNTIFS($G$2:G495,G495,$F$2:F495,F495)," ")</f>
        <v>2026-4-8</v>
      </c>
    </row>
    <row r="496" spans="1:8" x14ac:dyDescent="0.25">
      <c r="A496" s="11">
        <v>46121</v>
      </c>
      <c r="B496" s="3" t="str">
        <f t="shared" si="47"/>
        <v>quinta-feira</v>
      </c>
      <c r="C496" s="13"/>
      <c r="D496" s="16"/>
      <c r="E496" s="4" t="str">
        <f t="shared" si="48"/>
        <v xml:space="preserve"> </v>
      </c>
      <c r="F496" s="3">
        <f t="shared" si="49"/>
        <v>4</v>
      </c>
      <c r="G496" s="3">
        <f t="shared" si="50"/>
        <v>2026</v>
      </c>
      <c r="H496" s="6" t="str">
        <f>IF(A496&lt;&gt;" ",G496&amp;"-"&amp;F496&amp;"-"&amp;COUNTIFS($G$2:G496,G496,$F$2:F496,F496)," ")</f>
        <v>2026-4-9</v>
      </c>
    </row>
    <row r="497" spans="1:8" x14ac:dyDescent="0.25">
      <c r="A497" s="11">
        <v>46122</v>
      </c>
      <c r="B497" s="3" t="str">
        <f t="shared" si="47"/>
        <v>sexta-feira</v>
      </c>
      <c r="C497" s="13"/>
      <c r="D497" s="16"/>
      <c r="E497" s="4" t="str">
        <f t="shared" si="48"/>
        <v xml:space="preserve"> </v>
      </c>
      <c r="F497" s="3">
        <f t="shared" si="49"/>
        <v>4</v>
      </c>
      <c r="G497" s="3">
        <f t="shared" si="50"/>
        <v>2026</v>
      </c>
      <c r="H497" s="6" t="str">
        <f>IF(A497&lt;&gt;" ",G497&amp;"-"&amp;F497&amp;"-"&amp;COUNTIFS($G$2:G497,G497,$F$2:F497,F497)," ")</f>
        <v>2026-4-10</v>
      </c>
    </row>
    <row r="498" spans="1:8" x14ac:dyDescent="0.25">
      <c r="A498" s="11">
        <v>46123</v>
      </c>
      <c r="B498" s="3" t="str">
        <f t="shared" si="47"/>
        <v>sábado</v>
      </c>
      <c r="C498" s="13"/>
      <c r="D498" s="16"/>
      <c r="E498" s="4" t="str">
        <f t="shared" si="48"/>
        <v xml:space="preserve"> </v>
      </c>
      <c r="F498" s="3">
        <f t="shared" si="49"/>
        <v>4</v>
      </c>
      <c r="G498" s="3">
        <f t="shared" si="50"/>
        <v>2026</v>
      </c>
      <c r="H498" s="6" t="str">
        <f>IF(A498&lt;&gt;" ",G498&amp;"-"&amp;F498&amp;"-"&amp;COUNTIFS($G$2:G498,G498,$F$2:F498,F498)," ")</f>
        <v>2026-4-11</v>
      </c>
    </row>
    <row r="499" spans="1:8" x14ac:dyDescent="0.25">
      <c r="A499" s="11">
        <v>46124</v>
      </c>
      <c r="B499" s="3" t="str">
        <f t="shared" si="47"/>
        <v>domingo</v>
      </c>
      <c r="C499" s="13"/>
      <c r="D499" s="16"/>
      <c r="E499" s="4" t="str">
        <f t="shared" si="48"/>
        <v xml:space="preserve"> </v>
      </c>
      <c r="F499" s="3">
        <f t="shared" si="49"/>
        <v>4</v>
      </c>
      <c r="G499" s="3">
        <f t="shared" si="50"/>
        <v>2026</v>
      </c>
      <c r="H499" s="6" t="str">
        <f>IF(A499&lt;&gt;" ",G499&amp;"-"&amp;F499&amp;"-"&amp;COUNTIFS($G$2:G499,G499,$F$2:F499,F499)," ")</f>
        <v>2026-4-12</v>
      </c>
    </row>
    <row r="500" spans="1:8" x14ac:dyDescent="0.25">
      <c r="A500" s="11">
        <v>46125</v>
      </c>
      <c r="B500" s="3" t="str">
        <f t="shared" si="47"/>
        <v>segunda-feira</v>
      </c>
      <c r="C500" s="13"/>
      <c r="D500" s="16"/>
      <c r="E500" s="4" t="str">
        <f t="shared" si="48"/>
        <v xml:space="preserve"> </v>
      </c>
      <c r="F500" s="3">
        <f t="shared" si="49"/>
        <v>4</v>
      </c>
      <c r="G500" s="3">
        <f t="shared" si="50"/>
        <v>2026</v>
      </c>
      <c r="H500" s="6" t="str">
        <f>IF(A500&lt;&gt;" ",G500&amp;"-"&amp;F500&amp;"-"&amp;COUNTIFS($G$2:G500,G500,$F$2:F500,F500)," ")</f>
        <v>2026-4-13</v>
      </c>
    </row>
    <row r="501" spans="1:8" x14ac:dyDescent="0.25">
      <c r="A501" s="11">
        <v>46126</v>
      </c>
      <c r="B501" s="3" t="str">
        <f t="shared" si="47"/>
        <v>terça-feira</v>
      </c>
      <c r="C501" s="13"/>
      <c r="D501" s="16"/>
      <c r="E501" s="4" t="str">
        <f t="shared" si="48"/>
        <v xml:space="preserve"> </v>
      </c>
      <c r="F501" s="3">
        <f t="shared" si="49"/>
        <v>4</v>
      </c>
      <c r="G501" s="3">
        <f t="shared" si="50"/>
        <v>2026</v>
      </c>
      <c r="H501" s="6" t="str">
        <f>IF(A501&lt;&gt;" ",G501&amp;"-"&amp;F501&amp;"-"&amp;COUNTIFS($G$2:G501,G501,$F$2:F501,F501)," ")</f>
        <v>2026-4-14</v>
      </c>
    </row>
    <row r="502" spans="1:8" x14ac:dyDescent="0.25">
      <c r="A502" s="11">
        <v>46127</v>
      </c>
      <c r="B502" s="3" t="str">
        <f t="shared" si="47"/>
        <v>quarta-feira</v>
      </c>
      <c r="C502" s="13"/>
      <c r="D502" s="16"/>
      <c r="E502" s="4" t="str">
        <f t="shared" si="48"/>
        <v xml:space="preserve"> </v>
      </c>
      <c r="F502" s="3">
        <f t="shared" si="49"/>
        <v>4</v>
      </c>
      <c r="G502" s="3">
        <f t="shared" si="50"/>
        <v>2026</v>
      </c>
      <c r="H502" s="6" t="str">
        <f>IF(A502&lt;&gt;" ",G502&amp;"-"&amp;F502&amp;"-"&amp;COUNTIFS($G$2:G502,G502,$F$2:F502,F502)," ")</f>
        <v>2026-4-15</v>
      </c>
    </row>
    <row r="503" spans="1:8" x14ac:dyDescent="0.25">
      <c r="A503" s="11">
        <v>46128</v>
      </c>
      <c r="B503" s="3" t="str">
        <f t="shared" si="47"/>
        <v>quinta-feira</v>
      </c>
      <c r="C503" s="13"/>
      <c r="D503" s="16"/>
      <c r="E503" s="4" t="str">
        <f t="shared" si="48"/>
        <v xml:space="preserve"> </v>
      </c>
      <c r="F503" s="3">
        <f t="shared" si="49"/>
        <v>4</v>
      </c>
      <c r="G503" s="3">
        <f t="shared" si="50"/>
        <v>2026</v>
      </c>
      <c r="H503" s="6" t="str">
        <f>IF(A503&lt;&gt;" ",G503&amp;"-"&amp;F503&amp;"-"&amp;COUNTIFS($G$2:G503,G503,$F$2:F503,F503)," ")</f>
        <v>2026-4-16</v>
      </c>
    </row>
    <row r="504" spans="1:8" x14ac:dyDescent="0.25">
      <c r="A504" s="11">
        <v>46129</v>
      </c>
      <c r="B504" s="3" t="str">
        <f t="shared" si="47"/>
        <v>sexta-feira</v>
      </c>
      <c r="C504" s="13"/>
      <c r="D504" s="16"/>
      <c r="E504" s="4" t="str">
        <f t="shared" si="48"/>
        <v xml:space="preserve"> </v>
      </c>
      <c r="F504" s="3">
        <f t="shared" si="49"/>
        <v>4</v>
      </c>
      <c r="G504" s="3">
        <f t="shared" si="50"/>
        <v>2026</v>
      </c>
      <c r="H504" s="6" t="str">
        <f>IF(A504&lt;&gt;" ",G504&amp;"-"&amp;F504&amp;"-"&amp;COUNTIFS($G$2:G504,G504,$F$2:F504,F504)," ")</f>
        <v>2026-4-17</v>
      </c>
    </row>
    <row r="505" spans="1:8" x14ac:dyDescent="0.25">
      <c r="A505" s="11">
        <v>46130</v>
      </c>
      <c r="B505" s="3" t="str">
        <f t="shared" si="47"/>
        <v>sábado</v>
      </c>
      <c r="C505" s="13"/>
      <c r="D505" s="16"/>
      <c r="E505" s="4" t="str">
        <f t="shared" si="48"/>
        <v xml:space="preserve"> </v>
      </c>
      <c r="F505" s="3">
        <f t="shared" si="49"/>
        <v>4</v>
      </c>
      <c r="G505" s="3">
        <f t="shared" si="50"/>
        <v>2026</v>
      </c>
      <c r="H505" s="6" t="str">
        <f>IF(A505&lt;&gt;" ",G505&amp;"-"&amp;F505&amp;"-"&amp;COUNTIFS($G$2:G505,G505,$F$2:F505,F505)," ")</f>
        <v>2026-4-18</v>
      </c>
    </row>
    <row r="506" spans="1:8" x14ac:dyDescent="0.25">
      <c r="A506" s="11">
        <v>46131</v>
      </c>
      <c r="B506" s="3" t="str">
        <f t="shared" si="47"/>
        <v>domingo</v>
      </c>
      <c r="C506" s="13"/>
      <c r="D506" s="16"/>
      <c r="E506" s="4" t="str">
        <f t="shared" si="48"/>
        <v xml:space="preserve"> </v>
      </c>
      <c r="F506" s="3">
        <f t="shared" si="49"/>
        <v>4</v>
      </c>
      <c r="G506" s="3">
        <f t="shared" si="50"/>
        <v>2026</v>
      </c>
      <c r="H506" s="6" t="str">
        <f>IF(A506&lt;&gt;" ",G506&amp;"-"&amp;F506&amp;"-"&amp;COUNTIFS($G$2:G506,G506,$F$2:F506,F506)," ")</f>
        <v>2026-4-19</v>
      </c>
    </row>
    <row r="507" spans="1:8" x14ac:dyDescent="0.25">
      <c r="A507" s="11">
        <v>46132</v>
      </c>
      <c r="B507" s="3" t="str">
        <f t="shared" si="47"/>
        <v>segunda-feira</v>
      </c>
      <c r="C507" s="13"/>
      <c r="D507" s="16"/>
      <c r="E507" s="4" t="str">
        <f t="shared" si="48"/>
        <v xml:space="preserve"> </v>
      </c>
      <c r="F507" s="3">
        <f t="shared" si="49"/>
        <v>4</v>
      </c>
      <c r="G507" s="3">
        <f t="shared" si="50"/>
        <v>2026</v>
      </c>
      <c r="H507" s="6" t="str">
        <f>IF(A507&lt;&gt;" ",G507&amp;"-"&amp;F507&amp;"-"&amp;COUNTIFS($G$2:G507,G507,$F$2:F507,F507)," ")</f>
        <v>2026-4-20</v>
      </c>
    </row>
    <row r="508" spans="1:8" x14ac:dyDescent="0.25">
      <c r="A508" s="11">
        <v>46133</v>
      </c>
      <c r="B508" s="3" t="str">
        <f t="shared" si="47"/>
        <v>terça-feira</v>
      </c>
      <c r="C508" s="13"/>
      <c r="D508" s="16"/>
      <c r="E508" s="4" t="str">
        <f t="shared" si="48"/>
        <v xml:space="preserve"> </v>
      </c>
      <c r="F508" s="3">
        <f t="shared" si="49"/>
        <v>4</v>
      </c>
      <c r="G508" s="3">
        <f t="shared" si="50"/>
        <v>2026</v>
      </c>
      <c r="H508" s="6" t="str">
        <f>IF(A508&lt;&gt;" ",G508&amp;"-"&amp;F508&amp;"-"&amp;COUNTIFS($G$2:G508,G508,$F$2:F508,F508)," ")</f>
        <v>2026-4-21</v>
      </c>
    </row>
    <row r="509" spans="1:8" x14ac:dyDescent="0.25">
      <c r="A509" s="11">
        <v>46134</v>
      </c>
      <c r="B509" s="3" t="str">
        <f t="shared" si="47"/>
        <v>quarta-feira</v>
      </c>
      <c r="C509" s="13"/>
      <c r="D509" s="16"/>
      <c r="E509" s="4" t="str">
        <f t="shared" si="48"/>
        <v xml:space="preserve"> </v>
      </c>
      <c r="F509" s="3">
        <f t="shared" si="49"/>
        <v>4</v>
      </c>
      <c r="G509" s="3">
        <f t="shared" si="50"/>
        <v>2026</v>
      </c>
      <c r="H509" s="6" t="str">
        <f>IF(A509&lt;&gt;" ",G509&amp;"-"&amp;F509&amp;"-"&amp;COUNTIFS($G$2:G509,G509,$F$2:F509,F509)," ")</f>
        <v>2026-4-22</v>
      </c>
    </row>
    <row r="510" spans="1:8" x14ac:dyDescent="0.25">
      <c r="A510" s="11">
        <v>46135</v>
      </c>
      <c r="B510" s="3" t="str">
        <f t="shared" si="47"/>
        <v>quinta-feira</v>
      </c>
      <c r="C510" s="13"/>
      <c r="D510" s="16"/>
      <c r="E510" s="4" t="str">
        <f t="shared" si="48"/>
        <v xml:space="preserve"> </v>
      </c>
      <c r="F510" s="3">
        <f t="shared" si="49"/>
        <v>4</v>
      </c>
      <c r="G510" s="3">
        <f t="shared" si="50"/>
        <v>2026</v>
      </c>
      <c r="H510" s="6" t="str">
        <f>IF(A510&lt;&gt;" ",G510&amp;"-"&amp;F510&amp;"-"&amp;COUNTIFS($G$2:G510,G510,$F$2:F510,F510)," ")</f>
        <v>2026-4-23</v>
      </c>
    </row>
    <row r="511" spans="1:8" x14ac:dyDescent="0.25">
      <c r="A511" s="11">
        <v>46136</v>
      </c>
      <c r="B511" s="3" t="str">
        <f t="shared" si="47"/>
        <v>sexta-feira</v>
      </c>
      <c r="C511" s="13"/>
      <c r="D511" s="16"/>
      <c r="E511" s="4" t="str">
        <f t="shared" si="48"/>
        <v xml:space="preserve"> </v>
      </c>
      <c r="F511" s="3">
        <f t="shared" si="49"/>
        <v>4</v>
      </c>
      <c r="G511" s="3">
        <f t="shared" si="50"/>
        <v>2026</v>
      </c>
      <c r="H511" s="6" t="str">
        <f>IF(A511&lt;&gt;" ",G511&amp;"-"&amp;F511&amp;"-"&amp;COUNTIFS($G$2:G511,G511,$F$2:F511,F511)," ")</f>
        <v>2026-4-24</v>
      </c>
    </row>
    <row r="512" spans="1:8" x14ac:dyDescent="0.25">
      <c r="A512" s="11">
        <v>46137</v>
      </c>
      <c r="B512" s="3" t="str">
        <f t="shared" si="47"/>
        <v>sábado</v>
      </c>
      <c r="C512" s="13"/>
      <c r="D512" s="16"/>
      <c r="E512" s="4" t="str">
        <f t="shared" si="48"/>
        <v xml:space="preserve"> </v>
      </c>
      <c r="F512" s="3">
        <f t="shared" si="49"/>
        <v>4</v>
      </c>
      <c r="G512" s="3">
        <f t="shared" si="50"/>
        <v>2026</v>
      </c>
      <c r="H512" s="6" t="str">
        <f>IF(A512&lt;&gt;" ",G512&amp;"-"&amp;F512&amp;"-"&amp;COUNTIFS($G$2:G512,G512,$F$2:F512,F512)," ")</f>
        <v>2026-4-25</v>
      </c>
    </row>
    <row r="513" spans="1:8" x14ac:dyDescent="0.25">
      <c r="A513" s="11">
        <v>46138</v>
      </c>
      <c r="B513" s="3" t="str">
        <f t="shared" si="47"/>
        <v>domingo</v>
      </c>
      <c r="C513" s="13"/>
      <c r="D513" s="16"/>
      <c r="E513" s="4" t="str">
        <f t="shared" si="48"/>
        <v xml:space="preserve"> </v>
      </c>
      <c r="F513" s="3">
        <f t="shared" si="49"/>
        <v>4</v>
      </c>
      <c r="G513" s="3">
        <f t="shared" si="50"/>
        <v>2026</v>
      </c>
      <c r="H513" s="6" t="str">
        <f>IF(A513&lt;&gt;" ",G513&amp;"-"&amp;F513&amp;"-"&amp;COUNTIFS($G$2:G513,G513,$F$2:F513,F513)," ")</f>
        <v>2026-4-26</v>
      </c>
    </row>
    <row r="514" spans="1:8" x14ac:dyDescent="0.25">
      <c r="A514" s="11">
        <v>46139</v>
      </c>
      <c r="B514" s="3" t="str">
        <f t="shared" si="47"/>
        <v>segunda-feira</v>
      </c>
      <c r="C514" s="13"/>
      <c r="D514" s="16"/>
      <c r="E514" s="4" t="str">
        <f t="shared" si="48"/>
        <v xml:space="preserve"> </v>
      </c>
      <c r="F514" s="3">
        <f t="shared" si="49"/>
        <v>4</v>
      </c>
      <c r="G514" s="3">
        <f t="shared" si="50"/>
        <v>2026</v>
      </c>
      <c r="H514" s="6" t="str">
        <f>IF(A514&lt;&gt;" ",G514&amp;"-"&amp;F514&amp;"-"&amp;COUNTIFS($G$2:G514,G514,$F$2:F514,F514)," ")</f>
        <v>2026-4-27</v>
      </c>
    </row>
    <row r="515" spans="1:8" x14ac:dyDescent="0.25">
      <c r="A515" s="11">
        <v>46140</v>
      </c>
      <c r="B515" s="3" t="str">
        <f t="shared" si="47"/>
        <v>terça-feira</v>
      </c>
      <c r="C515" s="13"/>
      <c r="D515" s="16"/>
      <c r="E515" s="4" t="str">
        <f t="shared" si="48"/>
        <v xml:space="preserve"> </v>
      </c>
      <c r="F515" s="3">
        <f t="shared" si="49"/>
        <v>4</v>
      </c>
      <c r="G515" s="3">
        <f t="shared" si="50"/>
        <v>2026</v>
      </c>
      <c r="H515" s="6" t="str">
        <f>IF(A515&lt;&gt;" ",G515&amp;"-"&amp;F515&amp;"-"&amp;COUNTIFS($G$2:G515,G515,$F$2:F515,F515)," ")</f>
        <v>2026-4-28</v>
      </c>
    </row>
    <row r="516" spans="1:8" x14ac:dyDescent="0.25">
      <c r="A516" s="11">
        <v>46141</v>
      </c>
      <c r="B516" s="3" t="str">
        <f t="shared" si="47"/>
        <v>quarta-feira</v>
      </c>
      <c r="C516" s="13"/>
      <c r="D516" s="16"/>
      <c r="E516" s="4" t="str">
        <f t="shared" si="48"/>
        <v xml:space="preserve"> </v>
      </c>
      <c r="F516" s="3">
        <f t="shared" si="49"/>
        <v>4</v>
      </c>
      <c r="G516" s="3">
        <f t="shared" si="50"/>
        <v>2026</v>
      </c>
      <c r="H516" s="6" t="str">
        <f>IF(A516&lt;&gt;" ",G516&amp;"-"&amp;F516&amp;"-"&amp;COUNTIFS($G$2:G516,G516,$F$2:F516,F516)," ")</f>
        <v>2026-4-29</v>
      </c>
    </row>
    <row r="517" spans="1:8" x14ac:dyDescent="0.25">
      <c r="A517" s="11">
        <v>46142</v>
      </c>
      <c r="B517" s="3" t="str">
        <f t="shared" si="47"/>
        <v>quinta-feira</v>
      </c>
      <c r="C517" s="13"/>
      <c r="D517" s="16"/>
      <c r="E517" s="4" t="str">
        <f t="shared" si="48"/>
        <v xml:space="preserve"> </v>
      </c>
      <c r="F517" s="3">
        <f t="shared" si="49"/>
        <v>4</v>
      </c>
      <c r="G517" s="3">
        <f t="shared" si="50"/>
        <v>2026</v>
      </c>
      <c r="H517" s="6" t="str">
        <f>IF(A517&lt;&gt;" ",G517&amp;"-"&amp;F517&amp;"-"&amp;COUNTIFS($G$2:G517,G517,$F$2:F517,F517)," ")</f>
        <v>2026-4-30</v>
      </c>
    </row>
    <row r="518" spans="1:8" x14ac:dyDescent="0.25">
      <c r="A518" s="11">
        <v>46143</v>
      </c>
      <c r="B518" s="3" t="str">
        <f t="shared" si="47"/>
        <v>sexta-feira</v>
      </c>
      <c r="C518" s="13"/>
      <c r="D518" s="16"/>
      <c r="E518" s="4" t="str">
        <f t="shared" si="48"/>
        <v xml:space="preserve"> </v>
      </c>
      <c r="F518" s="3">
        <f t="shared" si="49"/>
        <v>5</v>
      </c>
      <c r="G518" s="3">
        <f t="shared" si="50"/>
        <v>2026</v>
      </c>
      <c r="H518" s="6" t="str">
        <f>IF(A518&lt;&gt;" ",G518&amp;"-"&amp;F518&amp;"-"&amp;COUNTIFS($G$2:G518,G518,$F$2:F518,F518)," ")</f>
        <v>2026-5-1</v>
      </c>
    </row>
    <row r="519" spans="1:8" x14ac:dyDescent="0.25">
      <c r="A519" s="11">
        <v>46144</v>
      </c>
      <c r="B519" s="3" t="str">
        <f t="shared" si="47"/>
        <v>sábado</v>
      </c>
      <c r="C519" s="13"/>
      <c r="D519" s="16"/>
      <c r="E519" s="4" t="str">
        <f t="shared" si="48"/>
        <v xml:space="preserve"> </v>
      </c>
      <c r="F519" s="3">
        <f t="shared" si="49"/>
        <v>5</v>
      </c>
      <c r="G519" s="3">
        <f t="shared" si="50"/>
        <v>2026</v>
      </c>
      <c r="H519" s="6" t="str">
        <f>IF(A519&lt;&gt;" ",G519&amp;"-"&amp;F519&amp;"-"&amp;COUNTIFS($G$2:G519,G519,$F$2:F519,F519)," ")</f>
        <v>2026-5-2</v>
      </c>
    </row>
    <row r="520" spans="1:8" x14ac:dyDescent="0.25">
      <c r="A520" s="11">
        <v>46145</v>
      </c>
      <c r="B520" s="3" t="str">
        <f t="shared" si="47"/>
        <v>domingo</v>
      </c>
      <c r="C520" s="13"/>
      <c r="D520" s="16"/>
      <c r="E520" s="4" t="str">
        <f t="shared" si="48"/>
        <v xml:space="preserve"> </v>
      </c>
      <c r="F520" s="3">
        <f t="shared" si="49"/>
        <v>5</v>
      </c>
      <c r="G520" s="3">
        <f t="shared" si="50"/>
        <v>2026</v>
      </c>
      <c r="H520" s="6" t="str">
        <f>IF(A520&lt;&gt;" ",G520&amp;"-"&amp;F520&amp;"-"&amp;COUNTIFS($G$2:G520,G520,$F$2:F520,F520)," ")</f>
        <v>2026-5-3</v>
      </c>
    </row>
    <row r="521" spans="1:8" x14ac:dyDescent="0.25">
      <c r="A521" s="11">
        <v>46146</v>
      </c>
      <c r="B521" s="3" t="str">
        <f t="shared" si="47"/>
        <v>segunda-feira</v>
      </c>
      <c r="C521" s="13"/>
      <c r="D521" s="16"/>
      <c r="E521" s="4" t="str">
        <f t="shared" si="48"/>
        <v xml:space="preserve"> </v>
      </c>
      <c r="F521" s="3">
        <f t="shared" si="49"/>
        <v>5</v>
      </c>
      <c r="G521" s="3">
        <f t="shared" si="50"/>
        <v>2026</v>
      </c>
      <c r="H521" s="6" t="str">
        <f>IF(A521&lt;&gt;" ",G521&amp;"-"&amp;F521&amp;"-"&amp;COUNTIFS($G$2:G521,G521,$F$2:F521,F521)," ")</f>
        <v>2026-5-4</v>
      </c>
    </row>
    <row r="522" spans="1:8" x14ac:dyDescent="0.25">
      <c r="A522" s="11">
        <v>46147</v>
      </c>
      <c r="B522" s="3" t="str">
        <f t="shared" si="47"/>
        <v>terça-feira</v>
      </c>
      <c r="C522" s="13"/>
      <c r="D522" s="16"/>
      <c r="E522" s="4" t="str">
        <f t="shared" si="48"/>
        <v xml:space="preserve"> </v>
      </c>
      <c r="F522" s="3">
        <f t="shared" si="49"/>
        <v>5</v>
      </c>
      <c r="G522" s="3">
        <f t="shared" si="50"/>
        <v>2026</v>
      </c>
      <c r="H522" s="6" t="str">
        <f>IF(A522&lt;&gt;" ",G522&amp;"-"&amp;F522&amp;"-"&amp;COUNTIFS($G$2:G522,G522,$F$2:F522,F522)," ")</f>
        <v>2026-5-5</v>
      </c>
    </row>
    <row r="523" spans="1:8" x14ac:dyDescent="0.25">
      <c r="A523" s="11">
        <v>46148</v>
      </c>
      <c r="B523" s="3" t="str">
        <f t="shared" si="47"/>
        <v>quarta-feira</v>
      </c>
      <c r="C523" s="13"/>
      <c r="D523" s="16"/>
      <c r="E523" s="4" t="str">
        <f t="shared" si="48"/>
        <v xml:space="preserve"> </v>
      </c>
      <c r="F523" s="3">
        <f t="shared" si="49"/>
        <v>5</v>
      </c>
      <c r="G523" s="3">
        <f t="shared" si="50"/>
        <v>2026</v>
      </c>
      <c r="H523" s="6" t="str">
        <f>IF(A523&lt;&gt;" ",G523&amp;"-"&amp;F523&amp;"-"&amp;COUNTIFS($G$2:G523,G523,$F$2:F523,F523)," ")</f>
        <v>2026-5-6</v>
      </c>
    </row>
    <row r="524" spans="1:8" x14ac:dyDescent="0.25">
      <c r="A524" s="11">
        <v>46149</v>
      </c>
      <c r="B524" s="3" t="str">
        <f t="shared" si="47"/>
        <v>quinta-feira</v>
      </c>
      <c r="C524" s="13"/>
      <c r="D524" s="16"/>
      <c r="E524" s="4" t="str">
        <f t="shared" si="48"/>
        <v xml:space="preserve"> </v>
      </c>
      <c r="F524" s="3">
        <f t="shared" si="49"/>
        <v>5</v>
      </c>
      <c r="G524" s="3">
        <f t="shared" si="50"/>
        <v>2026</v>
      </c>
      <c r="H524" s="6" t="str">
        <f>IF(A524&lt;&gt;" ",G524&amp;"-"&amp;F524&amp;"-"&amp;COUNTIFS($G$2:G524,G524,$F$2:F524,F524)," ")</f>
        <v>2026-5-7</v>
      </c>
    </row>
    <row r="525" spans="1:8" x14ac:dyDescent="0.25">
      <c r="A525" s="11">
        <v>46150</v>
      </c>
      <c r="B525" s="3" t="str">
        <f t="shared" si="47"/>
        <v>sexta-feira</v>
      </c>
      <c r="C525" s="13"/>
      <c r="D525" s="16"/>
      <c r="E525" s="4" t="str">
        <f t="shared" si="48"/>
        <v xml:space="preserve"> </v>
      </c>
      <c r="F525" s="3">
        <f t="shared" si="49"/>
        <v>5</v>
      </c>
      <c r="G525" s="3">
        <f t="shared" si="50"/>
        <v>2026</v>
      </c>
      <c r="H525" s="6" t="str">
        <f>IF(A525&lt;&gt;" ",G525&amp;"-"&amp;F525&amp;"-"&amp;COUNTIFS($G$2:G525,G525,$F$2:F525,F525)," ")</f>
        <v>2026-5-8</v>
      </c>
    </row>
    <row r="526" spans="1:8" x14ac:dyDescent="0.25">
      <c r="A526" s="11">
        <v>46151</v>
      </c>
      <c r="B526" s="3" t="str">
        <f t="shared" si="47"/>
        <v>sábado</v>
      </c>
      <c r="C526" s="13"/>
      <c r="D526" s="16"/>
      <c r="E526" s="4" t="str">
        <f t="shared" si="48"/>
        <v xml:space="preserve"> </v>
      </c>
      <c r="F526" s="3">
        <f t="shared" si="49"/>
        <v>5</v>
      </c>
      <c r="G526" s="3">
        <f t="shared" si="50"/>
        <v>2026</v>
      </c>
      <c r="H526" s="6" t="str">
        <f>IF(A526&lt;&gt;" ",G526&amp;"-"&amp;F526&amp;"-"&amp;COUNTIFS($G$2:G526,G526,$F$2:F526,F526)," ")</f>
        <v>2026-5-9</v>
      </c>
    </row>
    <row r="527" spans="1:8" x14ac:dyDescent="0.25">
      <c r="A527" s="11">
        <v>46152</v>
      </c>
      <c r="B527" s="3" t="str">
        <f t="shared" si="47"/>
        <v>domingo</v>
      </c>
      <c r="C527" s="13"/>
      <c r="D527" s="16"/>
      <c r="E527" s="4" t="str">
        <f t="shared" si="48"/>
        <v xml:space="preserve"> </v>
      </c>
      <c r="F527" s="3">
        <f t="shared" si="49"/>
        <v>5</v>
      </c>
      <c r="G527" s="3">
        <f t="shared" si="50"/>
        <v>2026</v>
      </c>
      <c r="H527" s="6" t="str">
        <f>IF(A527&lt;&gt;" ",G527&amp;"-"&amp;F527&amp;"-"&amp;COUNTIFS($G$2:G527,G527,$F$2:F527,F527)," ")</f>
        <v>2026-5-10</v>
      </c>
    </row>
    <row r="528" spans="1:8" x14ac:dyDescent="0.25">
      <c r="A528" s="11">
        <v>46153</v>
      </c>
      <c r="B528" s="3" t="str">
        <f t="shared" si="47"/>
        <v>segunda-feira</v>
      </c>
      <c r="C528" s="13"/>
      <c r="D528" s="16"/>
      <c r="E528" s="4" t="str">
        <f t="shared" si="48"/>
        <v xml:space="preserve"> </v>
      </c>
      <c r="F528" s="3">
        <f t="shared" si="49"/>
        <v>5</v>
      </c>
      <c r="G528" s="3">
        <f t="shared" si="50"/>
        <v>2026</v>
      </c>
      <c r="H528" s="6" t="str">
        <f>IF(A528&lt;&gt;" ",G528&amp;"-"&amp;F528&amp;"-"&amp;COUNTIFS($G$2:G528,G528,$F$2:F528,F528)," ")</f>
        <v>2026-5-11</v>
      </c>
    </row>
    <row r="529" spans="1:8" x14ac:dyDescent="0.25">
      <c r="A529" s="11">
        <v>46154</v>
      </c>
      <c r="B529" s="3" t="str">
        <f t="shared" si="47"/>
        <v>terça-feira</v>
      </c>
      <c r="C529" s="13"/>
      <c r="D529" s="16"/>
      <c r="E529" s="4" t="str">
        <f t="shared" si="48"/>
        <v xml:space="preserve"> </v>
      </c>
      <c r="F529" s="3">
        <f t="shared" si="49"/>
        <v>5</v>
      </c>
      <c r="G529" s="3">
        <f t="shared" si="50"/>
        <v>2026</v>
      </c>
      <c r="H529" s="6" t="str">
        <f>IF(A529&lt;&gt;" ",G529&amp;"-"&amp;F529&amp;"-"&amp;COUNTIFS($G$2:G529,G529,$F$2:F529,F529)," ")</f>
        <v>2026-5-12</v>
      </c>
    </row>
    <row r="530" spans="1:8" x14ac:dyDescent="0.25">
      <c r="A530" s="11">
        <v>46155</v>
      </c>
      <c r="B530" s="3" t="str">
        <f t="shared" si="47"/>
        <v>quarta-feira</v>
      </c>
      <c r="C530" s="13"/>
      <c r="D530" s="16"/>
      <c r="E530" s="4" t="str">
        <f t="shared" si="48"/>
        <v xml:space="preserve"> </v>
      </c>
      <c r="F530" s="3">
        <f t="shared" si="49"/>
        <v>5</v>
      </c>
      <c r="G530" s="3">
        <f t="shared" si="50"/>
        <v>2026</v>
      </c>
      <c r="H530" s="6" t="str">
        <f>IF(A530&lt;&gt;" ",G530&amp;"-"&amp;F530&amp;"-"&amp;COUNTIFS($G$2:G530,G530,$F$2:F530,F530)," ")</f>
        <v>2026-5-13</v>
      </c>
    </row>
    <row r="531" spans="1:8" x14ac:dyDescent="0.25">
      <c r="A531" s="11">
        <v>46156</v>
      </c>
      <c r="B531" s="3" t="str">
        <f t="shared" si="47"/>
        <v>quinta-feira</v>
      </c>
      <c r="C531" s="13"/>
      <c r="D531" s="16"/>
      <c r="E531" s="4" t="str">
        <f t="shared" si="48"/>
        <v xml:space="preserve"> </v>
      </c>
      <c r="F531" s="3">
        <f t="shared" si="49"/>
        <v>5</v>
      </c>
      <c r="G531" s="3">
        <f t="shared" si="50"/>
        <v>2026</v>
      </c>
      <c r="H531" s="6" t="str">
        <f>IF(A531&lt;&gt;" ",G531&amp;"-"&amp;F531&amp;"-"&amp;COUNTIFS($G$2:G531,G531,$F$2:F531,F531)," ")</f>
        <v>2026-5-14</v>
      </c>
    </row>
    <row r="532" spans="1:8" x14ac:dyDescent="0.25">
      <c r="A532" s="11">
        <v>46157</v>
      </c>
      <c r="B532" s="3" t="str">
        <f t="shared" si="47"/>
        <v>sexta-feira</v>
      </c>
      <c r="C532" s="13"/>
      <c r="D532" s="16"/>
      <c r="E532" s="4" t="str">
        <f t="shared" si="48"/>
        <v xml:space="preserve"> </v>
      </c>
      <c r="F532" s="3">
        <f t="shared" si="49"/>
        <v>5</v>
      </c>
      <c r="G532" s="3">
        <f t="shared" si="50"/>
        <v>2026</v>
      </c>
      <c r="H532" s="6" t="str">
        <f>IF(A532&lt;&gt;" ",G532&amp;"-"&amp;F532&amp;"-"&amp;COUNTIFS($G$2:G532,G532,$F$2:F532,F532)," ")</f>
        <v>2026-5-15</v>
      </c>
    </row>
    <row r="533" spans="1:8" x14ac:dyDescent="0.25">
      <c r="A533" s="11">
        <v>46158</v>
      </c>
      <c r="B533" s="3" t="str">
        <f t="shared" si="47"/>
        <v>sábado</v>
      </c>
      <c r="C533" s="13"/>
      <c r="D533" s="16"/>
      <c r="E533" s="4" t="str">
        <f t="shared" si="48"/>
        <v xml:space="preserve"> </v>
      </c>
      <c r="F533" s="3">
        <f t="shared" si="49"/>
        <v>5</v>
      </c>
      <c r="G533" s="3">
        <f t="shared" si="50"/>
        <v>2026</v>
      </c>
      <c r="H533" s="6" t="str">
        <f>IF(A533&lt;&gt;" ",G533&amp;"-"&amp;F533&amp;"-"&amp;COUNTIFS($G$2:G533,G533,$F$2:F533,F533)," ")</f>
        <v>2026-5-16</v>
      </c>
    </row>
    <row r="534" spans="1:8" x14ac:dyDescent="0.25">
      <c r="A534" s="11">
        <v>46159</v>
      </c>
      <c r="B534" s="3" t="str">
        <f t="shared" si="47"/>
        <v>domingo</v>
      </c>
      <c r="C534" s="13"/>
      <c r="D534" s="16"/>
      <c r="E534" s="4" t="str">
        <f t="shared" si="48"/>
        <v xml:space="preserve"> </v>
      </c>
      <c r="F534" s="3">
        <f t="shared" si="49"/>
        <v>5</v>
      </c>
      <c r="G534" s="3">
        <f t="shared" si="50"/>
        <v>2026</v>
      </c>
      <c r="H534" s="6" t="str">
        <f>IF(A534&lt;&gt;" ",G534&amp;"-"&amp;F534&amp;"-"&amp;COUNTIFS($G$2:G534,G534,$F$2:F534,F534)," ")</f>
        <v>2026-5-17</v>
      </c>
    </row>
    <row r="535" spans="1:8" x14ac:dyDescent="0.25">
      <c r="A535" s="11">
        <v>46160</v>
      </c>
      <c r="B535" s="3" t="str">
        <f t="shared" si="47"/>
        <v>segunda-feira</v>
      </c>
      <c r="C535" s="13"/>
      <c r="D535" s="16"/>
      <c r="E535" s="4" t="str">
        <f t="shared" si="48"/>
        <v xml:space="preserve"> </v>
      </c>
      <c r="F535" s="3">
        <f t="shared" si="49"/>
        <v>5</v>
      </c>
      <c r="G535" s="3">
        <f t="shared" si="50"/>
        <v>2026</v>
      </c>
      <c r="H535" s="6" t="str">
        <f>IF(A535&lt;&gt;" ",G535&amp;"-"&amp;F535&amp;"-"&amp;COUNTIFS($G$2:G535,G535,$F$2:F535,F535)," ")</f>
        <v>2026-5-18</v>
      </c>
    </row>
    <row r="536" spans="1:8" x14ac:dyDescent="0.25">
      <c r="A536" s="11">
        <v>46161</v>
      </c>
      <c r="B536" s="3" t="str">
        <f t="shared" si="47"/>
        <v>terça-feira</v>
      </c>
      <c r="C536" s="13"/>
      <c r="D536" s="16"/>
      <c r="E536" s="4" t="str">
        <f t="shared" si="48"/>
        <v xml:space="preserve"> </v>
      </c>
      <c r="F536" s="3">
        <f t="shared" si="49"/>
        <v>5</v>
      </c>
      <c r="G536" s="3">
        <f t="shared" si="50"/>
        <v>2026</v>
      </c>
      <c r="H536" s="6" t="str">
        <f>IF(A536&lt;&gt;" ",G536&amp;"-"&amp;F536&amp;"-"&amp;COUNTIFS($G$2:G536,G536,$F$2:F536,F536)," ")</f>
        <v>2026-5-19</v>
      </c>
    </row>
    <row r="537" spans="1:8" x14ac:dyDescent="0.25">
      <c r="A537" s="11">
        <v>46162</v>
      </c>
      <c r="B537" s="3" t="str">
        <f t="shared" ref="B537:B600" si="51">IF(A537&lt;&gt;" ",TEXT(A537,"dddd")," ")</f>
        <v>quarta-feira</v>
      </c>
      <c r="C537" s="13"/>
      <c r="D537" s="16"/>
      <c r="E537" s="4" t="str">
        <f t="shared" ref="E537:E600" si="52">IF(D537&gt;0,C537/D537," ")</f>
        <v xml:space="preserve"> </v>
      </c>
      <c r="F537" s="3">
        <f t="shared" ref="F537:F600" si="53">IF(A537&lt;&gt;" ",MONTH(A537)," ")</f>
        <v>5</v>
      </c>
      <c r="G537" s="3">
        <f t="shared" ref="G537:G600" si="54">IF(A537&lt;&gt;" ",YEAR(A537)," ")</f>
        <v>2026</v>
      </c>
      <c r="H537" s="6" t="str">
        <f>IF(A537&lt;&gt;" ",G537&amp;"-"&amp;F537&amp;"-"&amp;COUNTIFS($G$2:G537,G537,$F$2:F537,F537)," ")</f>
        <v>2026-5-20</v>
      </c>
    </row>
    <row r="538" spans="1:8" x14ac:dyDescent="0.25">
      <c r="A538" s="11">
        <v>46163</v>
      </c>
      <c r="B538" s="3" t="str">
        <f t="shared" si="51"/>
        <v>quinta-feira</v>
      </c>
      <c r="C538" s="13"/>
      <c r="D538" s="16"/>
      <c r="E538" s="4" t="str">
        <f t="shared" si="52"/>
        <v xml:space="preserve"> </v>
      </c>
      <c r="F538" s="3">
        <f t="shared" si="53"/>
        <v>5</v>
      </c>
      <c r="G538" s="3">
        <f t="shared" si="54"/>
        <v>2026</v>
      </c>
      <c r="H538" s="6" t="str">
        <f>IF(A538&lt;&gt;" ",G538&amp;"-"&amp;F538&amp;"-"&amp;COUNTIFS($G$2:G538,G538,$F$2:F538,F538)," ")</f>
        <v>2026-5-21</v>
      </c>
    </row>
    <row r="539" spans="1:8" x14ac:dyDescent="0.25">
      <c r="A539" s="11">
        <v>46164</v>
      </c>
      <c r="B539" s="3" t="str">
        <f t="shared" si="51"/>
        <v>sexta-feira</v>
      </c>
      <c r="C539" s="13"/>
      <c r="D539" s="16"/>
      <c r="E539" s="4" t="str">
        <f t="shared" si="52"/>
        <v xml:space="preserve"> </v>
      </c>
      <c r="F539" s="3">
        <f t="shared" si="53"/>
        <v>5</v>
      </c>
      <c r="G539" s="3">
        <f t="shared" si="54"/>
        <v>2026</v>
      </c>
      <c r="H539" s="6" t="str">
        <f>IF(A539&lt;&gt;" ",G539&amp;"-"&amp;F539&amp;"-"&amp;COUNTIFS($G$2:G539,G539,$F$2:F539,F539)," ")</f>
        <v>2026-5-22</v>
      </c>
    </row>
    <row r="540" spans="1:8" x14ac:dyDescent="0.25">
      <c r="A540" s="11">
        <v>46165</v>
      </c>
      <c r="B540" s="3" t="str">
        <f t="shared" si="51"/>
        <v>sábado</v>
      </c>
      <c r="C540" s="13"/>
      <c r="D540" s="16"/>
      <c r="E540" s="4" t="str">
        <f t="shared" si="52"/>
        <v xml:space="preserve"> </v>
      </c>
      <c r="F540" s="3">
        <f t="shared" si="53"/>
        <v>5</v>
      </c>
      <c r="G540" s="3">
        <f t="shared" si="54"/>
        <v>2026</v>
      </c>
      <c r="H540" s="6" t="str">
        <f>IF(A540&lt;&gt;" ",G540&amp;"-"&amp;F540&amp;"-"&amp;COUNTIFS($G$2:G540,G540,$F$2:F540,F540)," ")</f>
        <v>2026-5-23</v>
      </c>
    </row>
    <row r="541" spans="1:8" x14ac:dyDescent="0.25">
      <c r="A541" s="11">
        <v>46166</v>
      </c>
      <c r="B541" s="3" t="str">
        <f t="shared" si="51"/>
        <v>domingo</v>
      </c>
      <c r="C541" s="13"/>
      <c r="D541" s="16"/>
      <c r="E541" s="4" t="str">
        <f t="shared" si="52"/>
        <v xml:space="preserve"> </v>
      </c>
      <c r="F541" s="3">
        <f t="shared" si="53"/>
        <v>5</v>
      </c>
      <c r="G541" s="3">
        <f t="shared" si="54"/>
        <v>2026</v>
      </c>
      <c r="H541" s="6" t="str">
        <f>IF(A541&lt;&gt;" ",G541&amp;"-"&amp;F541&amp;"-"&amp;COUNTIFS($G$2:G541,G541,$F$2:F541,F541)," ")</f>
        <v>2026-5-24</v>
      </c>
    </row>
    <row r="542" spans="1:8" x14ac:dyDescent="0.25">
      <c r="A542" s="11">
        <v>46167</v>
      </c>
      <c r="B542" s="3" t="str">
        <f t="shared" si="51"/>
        <v>segunda-feira</v>
      </c>
      <c r="C542" s="13"/>
      <c r="D542" s="16"/>
      <c r="E542" s="4" t="str">
        <f t="shared" si="52"/>
        <v xml:space="preserve"> </v>
      </c>
      <c r="F542" s="3">
        <f t="shared" si="53"/>
        <v>5</v>
      </c>
      <c r="G542" s="3">
        <f t="shared" si="54"/>
        <v>2026</v>
      </c>
      <c r="H542" s="6" t="str">
        <f>IF(A542&lt;&gt;" ",G542&amp;"-"&amp;F542&amp;"-"&amp;COUNTIFS($G$2:G542,G542,$F$2:F542,F542)," ")</f>
        <v>2026-5-25</v>
      </c>
    </row>
    <row r="543" spans="1:8" x14ac:dyDescent="0.25">
      <c r="A543" s="11">
        <v>46168</v>
      </c>
      <c r="B543" s="3" t="str">
        <f t="shared" si="51"/>
        <v>terça-feira</v>
      </c>
      <c r="C543" s="13"/>
      <c r="D543" s="16"/>
      <c r="E543" s="4" t="str">
        <f t="shared" si="52"/>
        <v xml:space="preserve"> </v>
      </c>
      <c r="F543" s="3">
        <f t="shared" si="53"/>
        <v>5</v>
      </c>
      <c r="G543" s="3">
        <f t="shared" si="54"/>
        <v>2026</v>
      </c>
      <c r="H543" s="6" t="str">
        <f>IF(A543&lt;&gt;" ",G543&amp;"-"&amp;F543&amp;"-"&amp;COUNTIFS($G$2:G543,G543,$F$2:F543,F543)," ")</f>
        <v>2026-5-26</v>
      </c>
    </row>
    <row r="544" spans="1:8" x14ac:dyDescent="0.25">
      <c r="A544" s="11">
        <v>46169</v>
      </c>
      <c r="B544" s="3" t="str">
        <f t="shared" si="51"/>
        <v>quarta-feira</v>
      </c>
      <c r="C544" s="13"/>
      <c r="D544" s="16"/>
      <c r="E544" s="4" t="str">
        <f t="shared" si="52"/>
        <v xml:space="preserve"> </v>
      </c>
      <c r="F544" s="3">
        <f t="shared" si="53"/>
        <v>5</v>
      </c>
      <c r="G544" s="3">
        <f t="shared" si="54"/>
        <v>2026</v>
      </c>
      <c r="H544" s="6" t="str">
        <f>IF(A544&lt;&gt;" ",G544&amp;"-"&amp;F544&amp;"-"&amp;COUNTIFS($G$2:G544,G544,$F$2:F544,F544)," ")</f>
        <v>2026-5-27</v>
      </c>
    </row>
    <row r="545" spans="1:8" x14ac:dyDescent="0.25">
      <c r="A545" s="11">
        <v>46170</v>
      </c>
      <c r="B545" s="3" t="str">
        <f t="shared" si="51"/>
        <v>quinta-feira</v>
      </c>
      <c r="C545" s="13"/>
      <c r="D545" s="16"/>
      <c r="E545" s="4" t="str">
        <f t="shared" si="52"/>
        <v xml:space="preserve"> </v>
      </c>
      <c r="F545" s="3">
        <f t="shared" si="53"/>
        <v>5</v>
      </c>
      <c r="G545" s="3">
        <f t="shared" si="54"/>
        <v>2026</v>
      </c>
      <c r="H545" s="6" t="str">
        <f>IF(A545&lt;&gt;" ",G545&amp;"-"&amp;F545&amp;"-"&amp;COUNTIFS($G$2:G545,G545,$F$2:F545,F545)," ")</f>
        <v>2026-5-28</v>
      </c>
    </row>
    <row r="546" spans="1:8" x14ac:dyDescent="0.25">
      <c r="A546" s="11">
        <v>46171</v>
      </c>
      <c r="B546" s="3" t="str">
        <f t="shared" si="51"/>
        <v>sexta-feira</v>
      </c>
      <c r="C546" s="13"/>
      <c r="D546" s="16"/>
      <c r="E546" s="4" t="str">
        <f t="shared" si="52"/>
        <v xml:space="preserve"> </v>
      </c>
      <c r="F546" s="3">
        <f t="shared" si="53"/>
        <v>5</v>
      </c>
      <c r="G546" s="3">
        <f t="shared" si="54"/>
        <v>2026</v>
      </c>
      <c r="H546" s="6" t="str">
        <f>IF(A546&lt;&gt;" ",G546&amp;"-"&amp;F546&amp;"-"&amp;COUNTIFS($G$2:G546,G546,$F$2:F546,F546)," ")</f>
        <v>2026-5-29</v>
      </c>
    </row>
    <row r="547" spans="1:8" x14ac:dyDescent="0.25">
      <c r="A547" s="11">
        <v>46172</v>
      </c>
      <c r="B547" s="3" t="str">
        <f t="shared" si="51"/>
        <v>sábado</v>
      </c>
      <c r="C547" s="13"/>
      <c r="D547" s="16"/>
      <c r="E547" s="4" t="str">
        <f t="shared" si="52"/>
        <v xml:space="preserve"> </v>
      </c>
      <c r="F547" s="3">
        <f t="shared" si="53"/>
        <v>5</v>
      </c>
      <c r="G547" s="3">
        <f t="shared" si="54"/>
        <v>2026</v>
      </c>
      <c r="H547" s="6" t="str">
        <f>IF(A547&lt;&gt;" ",G547&amp;"-"&amp;F547&amp;"-"&amp;COUNTIFS($G$2:G547,G547,$F$2:F547,F547)," ")</f>
        <v>2026-5-30</v>
      </c>
    </row>
    <row r="548" spans="1:8" x14ac:dyDescent="0.25">
      <c r="A548" s="11">
        <v>46173</v>
      </c>
      <c r="B548" s="3" t="str">
        <f t="shared" si="51"/>
        <v>domingo</v>
      </c>
      <c r="C548" s="13"/>
      <c r="D548" s="16"/>
      <c r="E548" s="4" t="str">
        <f t="shared" si="52"/>
        <v xml:space="preserve"> </v>
      </c>
      <c r="F548" s="3">
        <f t="shared" si="53"/>
        <v>5</v>
      </c>
      <c r="G548" s="3">
        <f t="shared" si="54"/>
        <v>2026</v>
      </c>
      <c r="H548" s="6" t="str">
        <f>IF(A548&lt;&gt;" ",G548&amp;"-"&amp;F548&amp;"-"&amp;COUNTIFS($G$2:G548,G548,$F$2:F548,F548)," ")</f>
        <v>2026-5-31</v>
      </c>
    </row>
    <row r="549" spans="1:8" x14ac:dyDescent="0.25">
      <c r="A549" s="11">
        <v>46174</v>
      </c>
      <c r="B549" s="3" t="str">
        <f t="shared" si="51"/>
        <v>segunda-feira</v>
      </c>
      <c r="C549" s="13"/>
      <c r="D549" s="16"/>
      <c r="E549" s="4" t="str">
        <f t="shared" si="52"/>
        <v xml:space="preserve"> </v>
      </c>
      <c r="F549" s="3">
        <f t="shared" si="53"/>
        <v>6</v>
      </c>
      <c r="G549" s="3">
        <f t="shared" si="54"/>
        <v>2026</v>
      </c>
      <c r="H549" s="6" t="str">
        <f>IF(A549&lt;&gt;" ",G549&amp;"-"&amp;F549&amp;"-"&amp;COUNTIFS($G$2:G549,G549,$F$2:F549,F549)," ")</f>
        <v>2026-6-1</v>
      </c>
    </row>
    <row r="550" spans="1:8" x14ac:dyDescent="0.25">
      <c r="A550" s="11">
        <v>46175</v>
      </c>
      <c r="B550" s="3" t="str">
        <f t="shared" si="51"/>
        <v>terça-feira</v>
      </c>
      <c r="C550" s="13"/>
      <c r="D550" s="16"/>
      <c r="E550" s="4" t="str">
        <f t="shared" si="52"/>
        <v xml:space="preserve"> </v>
      </c>
      <c r="F550" s="3">
        <f t="shared" si="53"/>
        <v>6</v>
      </c>
      <c r="G550" s="3">
        <f t="shared" si="54"/>
        <v>2026</v>
      </c>
      <c r="H550" s="6" t="str">
        <f>IF(A550&lt;&gt;" ",G550&amp;"-"&amp;F550&amp;"-"&amp;COUNTIFS($G$2:G550,G550,$F$2:F550,F550)," ")</f>
        <v>2026-6-2</v>
      </c>
    </row>
    <row r="551" spans="1:8" x14ac:dyDescent="0.25">
      <c r="A551" s="11">
        <v>46176</v>
      </c>
      <c r="B551" s="3" t="str">
        <f t="shared" si="51"/>
        <v>quarta-feira</v>
      </c>
      <c r="C551" s="13"/>
      <c r="D551" s="16"/>
      <c r="E551" s="4" t="str">
        <f t="shared" si="52"/>
        <v xml:space="preserve"> </v>
      </c>
      <c r="F551" s="3">
        <f t="shared" si="53"/>
        <v>6</v>
      </c>
      <c r="G551" s="3">
        <f t="shared" si="54"/>
        <v>2026</v>
      </c>
      <c r="H551" s="6" t="str">
        <f>IF(A551&lt;&gt;" ",G551&amp;"-"&amp;F551&amp;"-"&amp;COUNTIFS($G$2:G551,G551,$F$2:F551,F551)," ")</f>
        <v>2026-6-3</v>
      </c>
    </row>
    <row r="552" spans="1:8" x14ac:dyDescent="0.25">
      <c r="A552" s="11">
        <v>46177</v>
      </c>
      <c r="B552" s="3" t="str">
        <f t="shared" si="51"/>
        <v>quinta-feira</v>
      </c>
      <c r="C552" s="13"/>
      <c r="D552" s="16"/>
      <c r="E552" s="4" t="str">
        <f t="shared" si="52"/>
        <v xml:space="preserve"> </v>
      </c>
      <c r="F552" s="3">
        <f t="shared" si="53"/>
        <v>6</v>
      </c>
      <c r="G552" s="3">
        <f t="shared" si="54"/>
        <v>2026</v>
      </c>
      <c r="H552" s="6" t="str">
        <f>IF(A552&lt;&gt;" ",G552&amp;"-"&amp;F552&amp;"-"&amp;COUNTIFS($G$2:G552,G552,$F$2:F552,F552)," ")</f>
        <v>2026-6-4</v>
      </c>
    </row>
    <row r="553" spans="1:8" x14ac:dyDescent="0.25">
      <c r="A553" s="11">
        <v>46178</v>
      </c>
      <c r="B553" s="3" t="str">
        <f t="shared" si="51"/>
        <v>sexta-feira</v>
      </c>
      <c r="C553" s="13"/>
      <c r="D553" s="16"/>
      <c r="E553" s="4" t="str">
        <f t="shared" si="52"/>
        <v xml:space="preserve"> </v>
      </c>
      <c r="F553" s="3">
        <f t="shared" si="53"/>
        <v>6</v>
      </c>
      <c r="G553" s="3">
        <f t="shared" si="54"/>
        <v>2026</v>
      </c>
      <c r="H553" s="6" t="str">
        <f>IF(A553&lt;&gt;" ",G553&amp;"-"&amp;F553&amp;"-"&amp;COUNTIFS($G$2:G553,G553,$F$2:F553,F553)," ")</f>
        <v>2026-6-5</v>
      </c>
    </row>
    <row r="554" spans="1:8" x14ac:dyDescent="0.25">
      <c r="A554" s="11">
        <v>46179</v>
      </c>
      <c r="B554" s="3" t="str">
        <f t="shared" si="51"/>
        <v>sábado</v>
      </c>
      <c r="C554" s="13"/>
      <c r="D554" s="16"/>
      <c r="E554" s="4" t="str">
        <f t="shared" si="52"/>
        <v xml:space="preserve"> </v>
      </c>
      <c r="F554" s="3">
        <f t="shared" si="53"/>
        <v>6</v>
      </c>
      <c r="G554" s="3">
        <f t="shared" si="54"/>
        <v>2026</v>
      </c>
      <c r="H554" s="6" t="str">
        <f>IF(A554&lt;&gt;" ",G554&amp;"-"&amp;F554&amp;"-"&amp;COUNTIFS($G$2:G554,G554,$F$2:F554,F554)," ")</f>
        <v>2026-6-6</v>
      </c>
    </row>
    <row r="555" spans="1:8" x14ac:dyDescent="0.25">
      <c r="A555" s="11">
        <v>46180</v>
      </c>
      <c r="B555" s="3" t="str">
        <f t="shared" si="51"/>
        <v>domingo</v>
      </c>
      <c r="C555" s="13"/>
      <c r="D555" s="16"/>
      <c r="E555" s="4" t="str">
        <f t="shared" si="52"/>
        <v xml:space="preserve"> </v>
      </c>
      <c r="F555" s="3">
        <f t="shared" si="53"/>
        <v>6</v>
      </c>
      <c r="G555" s="3">
        <f t="shared" si="54"/>
        <v>2026</v>
      </c>
      <c r="H555" s="6" t="str">
        <f>IF(A555&lt;&gt;" ",G555&amp;"-"&amp;F555&amp;"-"&amp;COUNTIFS($G$2:G555,G555,$F$2:F555,F555)," ")</f>
        <v>2026-6-7</v>
      </c>
    </row>
    <row r="556" spans="1:8" x14ac:dyDescent="0.25">
      <c r="A556" s="11">
        <v>46181</v>
      </c>
      <c r="B556" s="3" t="str">
        <f t="shared" si="51"/>
        <v>segunda-feira</v>
      </c>
      <c r="C556" s="13"/>
      <c r="D556" s="16"/>
      <c r="E556" s="4" t="str">
        <f t="shared" si="52"/>
        <v xml:space="preserve"> </v>
      </c>
      <c r="F556" s="3">
        <f t="shared" si="53"/>
        <v>6</v>
      </c>
      <c r="G556" s="3">
        <f t="shared" si="54"/>
        <v>2026</v>
      </c>
      <c r="H556" s="6" t="str">
        <f>IF(A556&lt;&gt;" ",G556&amp;"-"&amp;F556&amp;"-"&amp;COUNTIFS($G$2:G556,G556,$F$2:F556,F556)," ")</f>
        <v>2026-6-8</v>
      </c>
    </row>
    <row r="557" spans="1:8" x14ac:dyDescent="0.25">
      <c r="A557" s="11">
        <v>46182</v>
      </c>
      <c r="B557" s="3" t="str">
        <f t="shared" si="51"/>
        <v>terça-feira</v>
      </c>
      <c r="C557" s="13"/>
      <c r="D557" s="16"/>
      <c r="E557" s="4" t="str">
        <f t="shared" si="52"/>
        <v xml:space="preserve"> </v>
      </c>
      <c r="F557" s="3">
        <f t="shared" si="53"/>
        <v>6</v>
      </c>
      <c r="G557" s="3">
        <f t="shared" si="54"/>
        <v>2026</v>
      </c>
      <c r="H557" s="6" t="str">
        <f>IF(A557&lt;&gt;" ",G557&amp;"-"&amp;F557&amp;"-"&amp;COUNTIFS($G$2:G557,G557,$F$2:F557,F557)," ")</f>
        <v>2026-6-9</v>
      </c>
    </row>
    <row r="558" spans="1:8" x14ac:dyDescent="0.25">
      <c r="A558" s="11">
        <v>46183</v>
      </c>
      <c r="B558" s="3" t="str">
        <f t="shared" si="51"/>
        <v>quarta-feira</v>
      </c>
      <c r="C558" s="13"/>
      <c r="D558" s="16"/>
      <c r="E558" s="4" t="str">
        <f t="shared" si="52"/>
        <v xml:space="preserve"> </v>
      </c>
      <c r="F558" s="3">
        <f t="shared" si="53"/>
        <v>6</v>
      </c>
      <c r="G558" s="3">
        <f t="shared" si="54"/>
        <v>2026</v>
      </c>
      <c r="H558" s="6" t="str">
        <f>IF(A558&lt;&gt;" ",G558&amp;"-"&amp;F558&amp;"-"&amp;COUNTIFS($G$2:G558,G558,$F$2:F558,F558)," ")</f>
        <v>2026-6-10</v>
      </c>
    </row>
    <row r="559" spans="1:8" x14ac:dyDescent="0.25">
      <c r="A559" s="11">
        <v>46184</v>
      </c>
      <c r="B559" s="3" t="str">
        <f t="shared" si="51"/>
        <v>quinta-feira</v>
      </c>
      <c r="C559" s="13"/>
      <c r="D559" s="16"/>
      <c r="E559" s="4" t="str">
        <f t="shared" si="52"/>
        <v xml:space="preserve"> </v>
      </c>
      <c r="F559" s="3">
        <f t="shared" si="53"/>
        <v>6</v>
      </c>
      <c r="G559" s="3">
        <f t="shared" si="54"/>
        <v>2026</v>
      </c>
      <c r="H559" s="6" t="str">
        <f>IF(A559&lt;&gt;" ",G559&amp;"-"&amp;F559&amp;"-"&amp;COUNTIFS($G$2:G559,G559,$F$2:F559,F559)," ")</f>
        <v>2026-6-11</v>
      </c>
    </row>
    <row r="560" spans="1:8" x14ac:dyDescent="0.25">
      <c r="A560" s="11">
        <v>46185</v>
      </c>
      <c r="B560" s="3" t="str">
        <f t="shared" si="51"/>
        <v>sexta-feira</v>
      </c>
      <c r="C560" s="13"/>
      <c r="D560" s="16"/>
      <c r="E560" s="4" t="str">
        <f t="shared" si="52"/>
        <v xml:space="preserve"> </v>
      </c>
      <c r="F560" s="3">
        <f t="shared" si="53"/>
        <v>6</v>
      </c>
      <c r="G560" s="3">
        <f t="shared" si="54"/>
        <v>2026</v>
      </c>
      <c r="H560" s="6" t="str">
        <f>IF(A560&lt;&gt;" ",G560&amp;"-"&amp;F560&amp;"-"&amp;COUNTIFS($G$2:G560,G560,$F$2:F560,F560)," ")</f>
        <v>2026-6-12</v>
      </c>
    </row>
    <row r="561" spans="1:8" x14ac:dyDescent="0.25">
      <c r="A561" s="11">
        <v>46186</v>
      </c>
      <c r="B561" s="3" t="str">
        <f t="shared" si="51"/>
        <v>sábado</v>
      </c>
      <c r="C561" s="13"/>
      <c r="D561" s="16"/>
      <c r="E561" s="4" t="str">
        <f t="shared" si="52"/>
        <v xml:space="preserve"> </v>
      </c>
      <c r="F561" s="3">
        <f t="shared" si="53"/>
        <v>6</v>
      </c>
      <c r="G561" s="3">
        <f t="shared" si="54"/>
        <v>2026</v>
      </c>
      <c r="H561" s="6" t="str">
        <f>IF(A561&lt;&gt;" ",G561&amp;"-"&amp;F561&amp;"-"&amp;COUNTIFS($G$2:G561,G561,$F$2:F561,F561)," ")</f>
        <v>2026-6-13</v>
      </c>
    </row>
    <row r="562" spans="1:8" x14ac:dyDescent="0.25">
      <c r="A562" s="11">
        <v>46187</v>
      </c>
      <c r="B562" s="3" t="str">
        <f t="shared" si="51"/>
        <v>domingo</v>
      </c>
      <c r="C562" s="13"/>
      <c r="D562" s="16"/>
      <c r="E562" s="4" t="str">
        <f t="shared" si="52"/>
        <v xml:space="preserve"> </v>
      </c>
      <c r="F562" s="3">
        <f t="shared" si="53"/>
        <v>6</v>
      </c>
      <c r="G562" s="3">
        <f t="shared" si="54"/>
        <v>2026</v>
      </c>
      <c r="H562" s="6" t="str">
        <f>IF(A562&lt;&gt;" ",G562&amp;"-"&amp;F562&amp;"-"&amp;COUNTIFS($G$2:G562,G562,$F$2:F562,F562)," ")</f>
        <v>2026-6-14</v>
      </c>
    </row>
    <row r="563" spans="1:8" x14ac:dyDescent="0.25">
      <c r="A563" s="11">
        <v>46188</v>
      </c>
      <c r="B563" s="3" t="str">
        <f t="shared" si="51"/>
        <v>segunda-feira</v>
      </c>
      <c r="C563" s="13"/>
      <c r="D563" s="16"/>
      <c r="E563" s="4" t="str">
        <f t="shared" si="52"/>
        <v xml:space="preserve"> </v>
      </c>
      <c r="F563" s="3">
        <f t="shared" si="53"/>
        <v>6</v>
      </c>
      <c r="G563" s="3">
        <f t="shared" si="54"/>
        <v>2026</v>
      </c>
      <c r="H563" s="6" t="str">
        <f>IF(A563&lt;&gt;" ",G563&amp;"-"&amp;F563&amp;"-"&amp;COUNTIFS($G$2:G563,G563,$F$2:F563,F563)," ")</f>
        <v>2026-6-15</v>
      </c>
    </row>
    <row r="564" spans="1:8" x14ac:dyDescent="0.25">
      <c r="A564" s="11">
        <v>46189</v>
      </c>
      <c r="B564" s="3" t="str">
        <f t="shared" si="51"/>
        <v>terça-feira</v>
      </c>
      <c r="C564" s="13"/>
      <c r="D564" s="16"/>
      <c r="E564" s="4" t="str">
        <f t="shared" si="52"/>
        <v xml:space="preserve"> </v>
      </c>
      <c r="F564" s="3">
        <f t="shared" si="53"/>
        <v>6</v>
      </c>
      <c r="G564" s="3">
        <f t="shared" si="54"/>
        <v>2026</v>
      </c>
      <c r="H564" s="6" t="str">
        <f>IF(A564&lt;&gt;" ",G564&amp;"-"&amp;F564&amp;"-"&amp;COUNTIFS($G$2:G564,G564,$F$2:F564,F564)," ")</f>
        <v>2026-6-16</v>
      </c>
    </row>
    <row r="565" spans="1:8" x14ac:dyDescent="0.25">
      <c r="A565" s="11">
        <v>46190</v>
      </c>
      <c r="B565" s="3" t="str">
        <f t="shared" si="51"/>
        <v>quarta-feira</v>
      </c>
      <c r="C565" s="13"/>
      <c r="D565" s="16"/>
      <c r="E565" s="4" t="str">
        <f t="shared" si="52"/>
        <v xml:space="preserve"> </v>
      </c>
      <c r="F565" s="3">
        <f t="shared" si="53"/>
        <v>6</v>
      </c>
      <c r="G565" s="3">
        <f t="shared" si="54"/>
        <v>2026</v>
      </c>
      <c r="H565" s="6" t="str">
        <f>IF(A565&lt;&gt;" ",G565&amp;"-"&amp;F565&amp;"-"&amp;COUNTIFS($G$2:G565,G565,$F$2:F565,F565)," ")</f>
        <v>2026-6-17</v>
      </c>
    </row>
    <row r="566" spans="1:8" x14ac:dyDescent="0.25">
      <c r="A566" s="11">
        <v>46191</v>
      </c>
      <c r="B566" s="3" t="str">
        <f t="shared" si="51"/>
        <v>quinta-feira</v>
      </c>
      <c r="C566" s="13"/>
      <c r="D566" s="16"/>
      <c r="E566" s="4" t="str">
        <f t="shared" si="52"/>
        <v xml:space="preserve"> </v>
      </c>
      <c r="F566" s="3">
        <f t="shared" si="53"/>
        <v>6</v>
      </c>
      <c r="G566" s="3">
        <f t="shared" si="54"/>
        <v>2026</v>
      </c>
      <c r="H566" s="6" t="str">
        <f>IF(A566&lt;&gt;" ",G566&amp;"-"&amp;F566&amp;"-"&amp;COUNTIFS($G$2:G566,G566,$F$2:F566,F566)," ")</f>
        <v>2026-6-18</v>
      </c>
    </row>
    <row r="567" spans="1:8" x14ac:dyDescent="0.25">
      <c r="A567" s="11">
        <v>46192</v>
      </c>
      <c r="B567" s="3" t="str">
        <f t="shared" si="51"/>
        <v>sexta-feira</v>
      </c>
      <c r="C567" s="13"/>
      <c r="D567" s="16"/>
      <c r="E567" s="4" t="str">
        <f t="shared" si="52"/>
        <v xml:space="preserve"> </v>
      </c>
      <c r="F567" s="3">
        <f t="shared" si="53"/>
        <v>6</v>
      </c>
      <c r="G567" s="3">
        <f t="shared" si="54"/>
        <v>2026</v>
      </c>
      <c r="H567" s="6" t="str">
        <f>IF(A567&lt;&gt;" ",G567&amp;"-"&amp;F567&amp;"-"&amp;COUNTIFS($G$2:G567,G567,$F$2:F567,F567)," ")</f>
        <v>2026-6-19</v>
      </c>
    </row>
    <row r="568" spans="1:8" x14ac:dyDescent="0.25">
      <c r="A568" s="11">
        <v>46193</v>
      </c>
      <c r="B568" s="3" t="str">
        <f t="shared" si="51"/>
        <v>sábado</v>
      </c>
      <c r="C568" s="13"/>
      <c r="D568" s="16"/>
      <c r="E568" s="4" t="str">
        <f t="shared" si="52"/>
        <v xml:space="preserve"> </v>
      </c>
      <c r="F568" s="3">
        <f t="shared" si="53"/>
        <v>6</v>
      </c>
      <c r="G568" s="3">
        <f t="shared" si="54"/>
        <v>2026</v>
      </c>
      <c r="H568" s="6" t="str">
        <f>IF(A568&lt;&gt;" ",G568&amp;"-"&amp;F568&amp;"-"&amp;COUNTIFS($G$2:G568,G568,$F$2:F568,F568)," ")</f>
        <v>2026-6-20</v>
      </c>
    </row>
    <row r="569" spans="1:8" x14ac:dyDescent="0.25">
      <c r="A569" s="11">
        <v>46194</v>
      </c>
      <c r="B569" s="3" t="str">
        <f t="shared" si="51"/>
        <v>domingo</v>
      </c>
      <c r="C569" s="13"/>
      <c r="D569" s="16"/>
      <c r="E569" s="4" t="str">
        <f t="shared" si="52"/>
        <v xml:space="preserve"> </v>
      </c>
      <c r="F569" s="3">
        <f t="shared" si="53"/>
        <v>6</v>
      </c>
      <c r="G569" s="3">
        <f t="shared" si="54"/>
        <v>2026</v>
      </c>
      <c r="H569" s="6" t="str">
        <f>IF(A569&lt;&gt;" ",G569&amp;"-"&amp;F569&amp;"-"&amp;COUNTIFS($G$2:G569,G569,$F$2:F569,F569)," ")</f>
        <v>2026-6-21</v>
      </c>
    </row>
    <row r="570" spans="1:8" x14ac:dyDescent="0.25">
      <c r="A570" s="11">
        <v>46195</v>
      </c>
      <c r="B570" s="3" t="str">
        <f t="shared" si="51"/>
        <v>segunda-feira</v>
      </c>
      <c r="C570" s="13"/>
      <c r="D570" s="16"/>
      <c r="E570" s="4" t="str">
        <f t="shared" si="52"/>
        <v xml:space="preserve"> </v>
      </c>
      <c r="F570" s="3">
        <f t="shared" si="53"/>
        <v>6</v>
      </c>
      <c r="G570" s="3">
        <f t="shared" si="54"/>
        <v>2026</v>
      </c>
      <c r="H570" s="6" t="str">
        <f>IF(A570&lt;&gt;" ",G570&amp;"-"&amp;F570&amp;"-"&amp;COUNTIFS($G$2:G570,G570,$F$2:F570,F570)," ")</f>
        <v>2026-6-22</v>
      </c>
    </row>
    <row r="571" spans="1:8" x14ac:dyDescent="0.25">
      <c r="A571" s="11">
        <v>46196</v>
      </c>
      <c r="B571" s="3" t="str">
        <f t="shared" si="51"/>
        <v>terça-feira</v>
      </c>
      <c r="C571" s="13"/>
      <c r="D571" s="16"/>
      <c r="E571" s="4" t="str">
        <f t="shared" si="52"/>
        <v xml:space="preserve"> </v>
      </c>
      <c r="F571" s="3">
        <f t="shared" si="53"/>
        <v>6</v>
      </c>
      <c r="G571" s="3">
        <f t="shared" si="54"/>
        <v>2026</v>
      </c>
      <c r="H571" s="6" t="str">
        <f>IF(A571&lt;&gt;" ",G571&amp;"-"&amp;F571&amp;"-"&amp;COUNTIFS($G$2:G571,G571,$F$2:F571,F571)," ")</f>
        <v>2026-6-23</v>
      </c>
    </row>
    <row r="572" spans="1:8" x14ac:dyDescent="0.25">
      <c r="A572" s="11">
        <v>46197</v>
      </c>
      <c r="B572" s="3" t="str">
        <f t="shared" si="51"/>
        <v>quarta-feira</v>
      </c>
      <c r="C572" s="13"/>
      <c r="D572" s="16"/>
      <c r="E572" s="4" t="str">
        <f t="shared" si="52"/>
        <v xml:space="preserve"> </v>
      </c>
      <c r="F572" s="3">
        <f t="shared" si="53"/>
        <v>6</v>
      </c>
      <c r="G572" s="3">
        <f t="shared" si="54"/>
        <v>2026</v>
      </c>
      <c r="H572" s="6" t="str">
        <f>IF(A572&lt;&gt;" ",G572&amp;"-"&amp;F572&amp;"-"&amp;COUNTIFS($G$2:G572,G572,$F$2:F572,F572)," ")</f>
        <v>2026-6-24</v>
      </c>
    </row>
    <row r="573" spans="1:8" x14ac:dyDescent="0.25">
      <c r="A573" s="11">
        <v>46198</v>
      </c>
      <c r="B573" s="3" t="str">
        <f t="shared" si="51"/>
        <v>quinta-feira</v>
      </c>
      <c r="C573" s="13"/>
      <c r="D573" s="16"/>
      <c r="E573" s="4" t="str">
        <f t="shared" si="52"/>
        <v xml:space="preserve"> </v>
      </c>
      <c r="F573" s="3">
        <f t="shared" si="53"/>
        <v>6</v>
      </c>
      <c r="G573" s="3">
        <f t="shared" si="54"/>
        <v>2026</v>
      </c>
      <c r="H573" s="6" t="str">
        <f>IF(A573&lt;&gt;" ",G573&amp;"-"&amp;F573&amp;"-"&amp;COUNTIFS($G$2:G573,G573,$F$2:F573,F573)," ")</f>
        <v>2026-6-25</v>
      </c>
    </row>
    <row r="574" spans="1:8" x14ac:dyDescent="0.25">
      <c r="A574" s="11">
        <v>46199</v>
      </c>
      <c r="B574" s="3" t="str">
        <f t="shared" si="51"/>
        <v>sexta-feira</v>
      </c>
      <c r="C574" s="13"/>
      <c r="D574" s="16"/>
      <c r="E574" s="4" t="str">
        <f t="shared" si="52"/>
        <v xml:space="preserve"> </v>
      </c>
      <c r="F574" s="3">
        <f t="shared" si="53"/>
        <v>6</v>
      </c>
      <c r="G574" s="3">
        <f t="shared" si="54"/>
        <v>2026</v>
      </c>
      <c r="H574" s="6" t="str">
        <f>IF(A574&lt;&gt;" ",G574&amp;"-"&amp;F574&amp;"-"&amp;COUNTIFS($G$2:G574,G574,$F$2:F574,F574)," ")</f>
        <v>2026-6-26</v>
      </c>
    </row>
    <row r="575" spans="1:8" x14ac:dyDescent="0.25">
      <c r="A575" s="11">
        <v>46200</v>
      </c>
      <c r="B575" s="3" t="str">
        <f t="shared" si="51"/>
        <v>sábado</v>
      </c>
      <c r="C575" s="13"/>
      <c r="D575" s="16"/>
      <c r="E575" s="4" t="str">
        <f t="shared" si="52"/>
        <v xml:space="preserve"> </v>
      </c>
      <c r="F575" s="3">
        <f t="shared" si="53"/>
        <v>6</v>
      </c>
      <c r="G575" s="3">
        <f t="shared" si="54"/>
        <v>2026</v>
      </c>
      <c r="H575" s="6" t="str">
        <f>IF(A575&lt;&gt;" ",G575&amp;"-"&amp;F575&amp;"-"&amp;COUNTIFS($G$2:G575,G575,$F$2:F575,F575)," ")</f>
        <v>2026-6-27</v>
      </c>
    </row>
    <row r="576" spans="1:8" x14ac:dyDescent="0.25">
      <c r="A576" s="11">
        <v>46201</v>
      </c>
      <c r="B576" s="3" t="str">
        <f t="shared" si="51"/>
        <v>domingo</v>
      </c>
      <c r="C576" s="13"/>
      <c r="D576" s="16"/>
      <c r="E576" s="4" t="str">
        <f t="shared" si="52"/>
        <v xml:space="preserve"> </v>
      </c>
      <c r="F576" s="3">
        <f t="shared" si="53"/>
        <v>6</v>
      </c>
      <c r="G576" s="3">
        <f t="shared" si="54"/>
        <v>2026</v>
      </c>
      <c r="H576" s="6" t="str">
        <f>IF(A576&lt;&gt;" ",G576&amp;"-"&amp;F576&amp;"-"&amp;COUNTIFS($G$2:G576,G576,$F$2:F576,F576)," ")</f>
        <v>2026-6-28</v>
      </c>
    </row>
    <row r="577" spans="1:8" x14ac:dyDescent="0.25">
      <c r="A577" s="11">
        <v>46202</v>
      </c>
      <c r="B577" s="3" t="str">
        <f t="shared" si="51"/>
        <v>segunda-feira</v>
      </c>
      <c r="C577" s="13"/>
      <c r="D577" s="16"/>
      <c r="E577" s="4" t="str">
        <f t="shared" si="52"/>
        <v xml:space="preserve"> </v>
      </c>
      <c r="F577" s="3">
        <f t="shared" si="53"/>
        <v>6</v>
      </c>
      <c r="G577" s="3">
        <f t="shared" si="54"/>
        <v>2026</v>
      </c>
      <c r="H577" s="6" t="str">
        <f>IF(A577&lt;&gt;" ",G577&amp;"-"&amp;F577&amp;"-"&amp;COUNTIFS($G$2:G577,G577,$F$2:F577,F577)," ")</f>
        <v>2026-6-29</v>
      </c>
    </row>
    <row r="578" spans="1:8" x14ac:dyDescent="0.25">
      <c r="A578" s="11">
        <v>46203</v>
      </c>
      <c r="B578" s="3" t="str">
        <f t="shared" si="51"/>
        <v>terça-feira</v>
      </c>
      <c r="C578" s="13"/>
      <c r="D578" s="16"/>
      <c r="E578" s="4" t="str">
        <f t="shared" si="52"/>
        <v xml:space="preserve"> </v>
      </c>
      <c r="F578" s="3">
        <f t="shared" si="53"/>
        <v>6</v>
      </c>
      <c r="G578" s="3">
        <f t="shared" si="54"/>
        <v>2026</v>
      </c>
      <c r="H578" s="6" t="str">
        <f>IF(A578&lt;&gt;" ",G578&amp;"-"&amp;F578&amp;"-"&amp;COUNTIFS($G$2:G578,G578,$F$2:F578,F578)," ")</f>
        <v>2026-6-30</v>
      </c>
    </row>
    <row r="579" spans="1:8" x14ac:dyDescent="0.25">
      <c r="A579" s="11">
        <v>46204</v>
      </c>
      <c r="B579" s="3" t="str">
        <f t="shared" si="51"/>
        <v>quarta-feira</v>
      </c>
      <c r="C579" s="13"/>
      <c r="D579" s="16"/>
      <c r="E579" s="4" t="str">
        <f t="shared" si="52"/>
        <v xml:space="preserve"> </v>
      </c>
      <c r="F579" s="3">
        <f t="shared" si="53"/>
        <v>7</v>
      </c>
      <c r="G579" s="3">
        <f t="shared" si="54"/>
        <v>2026</v>
      </c>
      <c r="H579" s="6" t="str">
        <f>IF(A579&lt;&gt;" ",G579&amp;"-"&amp;F579&amp;"-"&amp;COUNTIFS($G$2:G579,G579,$F$2:F579,F579)," ")</f>
        <v>2026-7-1</v>
      </c>
    </row>
    <row r="580" spans="1:8" x14ac:dyDescent="0.25">
      <c r="A580" s="11">
        <v>46205</v>
      </c>
      <c r="B580" s="3" t="str">
        <f t="shared" si="51"/>
        <v>quinta-feira</v>
      </c>
      <c r="C580" s="13"/>
      <c r="D580" s="16"/>
      <c r="E580" s="4" t="str">
        <f t="shared" si="52"/>
        <v xml:space="preserve"> </v>
      </c>
      <c r="F580" s="3">
        <f t="shared" si="53"/>
        <v>7</v>
      </c>
      <c r="G580" s="3">
        <f t="shared" si="54"/>
        <v>2026</v>
      </c>
      <c r="H580" s="6" t="str">
        <f>IF(A580&lt;&gt;" ",G580&amp;"-"&amp;F580&amp;"-"&amp;COUNTIFS($G$2:G580,G580,$F$2:F580,F580)," ")</f>
        <v>2026-7-2</v>
      </c>
    </row>
    <row r="581" spans="1:8" x14ac:dyDescent="0.25">
      <c r="A581" s="11">
        <v>46206</v>
      </c>
      <c r="B581" s="3" t="str">
        <f t="shared" si="51"/>
        <v>sexta-feira</v>
      </c>
      <c r="C581" s="13"/>
      <c r="D581" s="16"/>
      <c r="E581" s="4" t="str">
        <f t="shared" si="52"/>
        <v xml:space="preserve"> </v>
      </c>
      <c r="F581" s="3">
        <f t="shared" si="53"/>
        <v>7</v>
      </c>
      <c r="G581" s="3">
        <f t="shared" si="54"/>
        <v>2026</v>
      </c>
      <c r="H581" s="6" t="str">
        <f>IF(A581&lt;&gt;" ",G581&amp;"-"&amp;F581&amp;"-"&amp;COUNTIFS($G$2:G581,G581,$F$2:F581,F581)," ")</f>
        <v>2026-7-3</v>
      </c>
    </row>
    <row r="582" spans="1:8" x14ac:dyDescent="0.25">
      <c r="A582" s="11">
        <v>46207</v>
      </c>
      <c r="B582" s="3" t="str">
        <f t="shared" si="51"/>
        <v>sábado</v>
      </c>
      <c r="C582" s="13"/>
      <c r="D582" s="16"/>
      <c r="E582" s="4" t="str">
        <f t="shared" si="52"/>
        <v xml:space="preserve"> </v>
      </c>
      <c r="F582" s="3">
        <f t="shared" si="53"/>
        <v>7</v>
      </c>
      <c r="G582" s="3">
        <f t="shared" si="54"/>
        <v>2026</v>
      </c>
      <c r="H582" s="6" t="str">
        <f>IF(A582&lt;&gt;" ",G582&amp;"-"&amp;F582&amp;"-"&amp;COUNTIFS($G$2:G582,G582,$F$2:F582,F582)," ")</f>
        <v>2026-7-4</v>
      </c>
    </row>
    <row r="583" spans="1:8" x14ac:dyDescent="0.25">
      <c r="A583" s="11">
        <v>46208</v>
      </c>
      <c r="B583" s="3" t="str">
        <f t="shared" si="51"/>
        <v>domingo</v>
      </c>
      <c r="C583" s="13"/>
      <c r="D583" s="16"/>
      <c r="E583" s="4" t="str">
        <f t="shared" si="52"/>
        <v xml:space="preserve"> </v>
      </c>
      <c r="F583" s="3">
        <f t="shared" si="53"/>
        <v>7</v>
      </c>
      <c r="G583" s="3">
        <f t="shared" si="54"/>
        <v>2026</v>
      </c>
      <c r="H583" s="6" t="str">
        <f>IF(A583&lt;&gt;" ",G583&amp;"-"&amp;F583&amp;"-"&amp;COUNTIFS($G$2:G583,G583,$F$2:F583,F583)," ")</f>
        <v>2026-7-5</v>
      </c>
    </row>
    <row r="584" spans="1:8" x14ac:dyDescent="0.25">
      <c r="A584" s="11">
        <v>46209</v>
      </c>
      <c r="B584" s="3" t="str">
        <f t="shared" si="51"/>
        <v>segunda-feira</v>
      </c>
      <c r="C584" s="13"/>
      <c r="D584" s="16"/>
      <c r="E584" s="4" t="str">
        <f t="shared" si="52"/>
        <v xml:space="preserve"> </v>
      </c>
      <c r="F584" s="3">
        <f t="shared" si="53"/>
        <v>7</v>
      </c>
      <c r="G584" s="3">
        <f t="shared" si="54"/>
        <v>2026</v>
      </c>
      <c r="H584" s="6" t="str">
        <f>IF(A584&lt;&gt;" ",G584&amp;"-"&amp;F584&amp;"-"&amp;COUNTIFS($G$2:G584,G584,$F$2:F584,F584)," ")</f>
        <v>2026-7-6</v>
      </c>
    </row>
    <row r="585" spans="1:8" x14ac:dyDescent="0.25">
      <c r="A585" s="11">
        <v>46210</v>
      </c>
      <c r="B585" s="3" t="str">
        <f t="shared" si="51"/>
        <v>terça-feira</v>
      </c>
      <c r="C585" s="13"/>
      <c r="D585" s="16"/>
      <c r="E585" s="4" t="str">
        <f t="shared" si="52"/>
        <v xml:space="preserve"> </v>
      </c>
      <c r="F585" s="3">
        <f t="shared" si="53"/>
        <v>7</v>
      </c>
      <c r="G585" s="3">
        <f t="shared" si="54"/>
        <v>2026</v>
      </c>
      <c r="H585" s="6" t="str">
        <f>IF(A585&lt;&gt;" ",G585&amp;"-"&amp;F585&amp;"-"&amp;COUNTIFS($G$2:G585,G585,$F$2:F585,F585)," ")</f>
        <v>2026-7-7</v>
      </c>
    </row>
    <row r="586" spans="1:8" x14ac:dyDescent="0.25">
      <c r="A586" s="11">
        <v>46211</v>
      </c>
      <c r="B586" s="3" t="str">
        <f t="shared" si="51"/>
        <v>quarta-feira</v>
      </c>
      <c r="C586" s="13"/>
      <c r="D586" s="16"/>
      <c r="E586" s="4" t="str">
        <f t="shared" si="52"/>
        <v xml:space="preserve"> </v>
      </c>
      <c r="F586" s="3">
        <f t="shared" si="53"/>
        <v>7</v>
      </c>
      <c r="G586" s="3">
        <f t="shared" si="54"/>
        <v>2026</v>
      </c>
      <c r="H586" s="6" t="str">
        <f>IF(A586&lt;&gt;" ",G586&amp;"-"&amp;F586&amp;"-"&amp;COUNTIFS($G$2:G586,G586,$F$2:F586,F586)," ")</f>
        <v>2026-7-8</v>
      </c>
    </row>
    <row r="587" spans="1:8" x14ac:dyDescent="0.25">
      <c r="A587" s="11">
        <v>46212</v>
      </c>
      <c r="B587" s="3" t="str">
        <f t="shared" si="51"/>
        <v>quinta-feira</v>
      </c>
      <c r="C587" s="13"/>
      <c r="D587" s="16"/>
      <c r="E587" s="4" t="str">
        <f t="shared" si="52"/>
        <v xml:space="preserve"> </v>
      </c>
      <c r="F587" s="3">
        <f t="shared" si="53"/>
        <v>7</v>
      </c>
      <c r="G587" s="3">
        <f t="shared" si="54"/>
        <v>2026</v>
      </c>
      <c r="H587" s="6" t="str">
        <f>IF(A587&lt;&gt;" ",G587&amp;"-"&amp;F587&amp;"-"&amp;COUNTIFS($G$2:G587,G587,$F$2:F587,F587)," ")</f>
        <v>2026-7-9</v>
      </c>
    </row>
    <row r="588" spans="1:8" x14ac:dyDescent="0.25">
      <c r="A588" s="11">
        <v>46213</v>
      </c>
      <c r="B588" s="3" t="str">
        <f t="shared" si="51"/>
        <v>sexta-feira</v>
      </c>
      <c r="C588" s="13"/>
      <c r="D588" s="16"/>
      <c r="E588" s="4" t="str">
        <f t="shared" si="52"/>
        <v xml:space="preserve"> </v>
      </c>
      <c r="F588" s="3">
        <f t="shared" si="53"/>
        <v>7</v>
      </c>
      <c r="G588" s="3">
        <f t="shared" si="54"/>
        <v>2026</v>
      </c>
      <c r="H588" s="6" t="str">
        <f>IF(A588&lt;&gt;" ",G588&amp;"-"&amp;F588&amp;"-"&amp;COUNTIFS($G$2:G588,G588,$F$2:F588,F588)," ")</f>
        <v>2026-7-10</v>
      </c>
    </row>
    <row r="589" spans="1:8" x14ac:dyDescent="0.25">
      <c r="A589" s="11">
        <v>46214</v>
      </c>
      <c r="B589" s="3" t="str">
        <f t="shared" si="51"/>
        <v>sábado</v>
      </c>
      <c r="C589" s="13"/>
      <c r="D589" s="16"/>
      <c r="E589" s="4" t="str">
        <f t="shared" si="52"/>
        <v xml:space="preserve"> </v>
      </c>
      <c r="F589" s="3">
        <f t="shared" si="53"/>
        <v>7</v>
      </c>
      <c r="G589" s="3">
        <f t="shared" si="54"/>
        <v>2026</v>
      </c>
      <c r="H589" s="6" t="str">
        <f>IF(A589&lt;&gt;" ",G589&amp;"-"&amp;F589&amp;"-"&amp;COUNTIFS($G$2:G589,G589,$F$2:F589,F589)," ")</f>
        <v>2026-7-11</v>
      </c>
    </row>
    <row r="590" spans="1:8" x14ac:dyDescent="0.25">
      <c r="A590" s="11">
        <v>46215</v>
      </c>
      <c r="B590" s="3" t="str">
        <f t="shared" si="51"/>
        <v>domingo</v>
      </c>
      <c r="C590" s="13"/>
      <c r="D590" s="16"/>
      <c r="E590" s="4" t="str">
        <f t="shared" si="52"/>
        <v xml:space="preserve"> </v>
      </c>
      <c r="F590" s="3">
        <f t="shared" si="53"/>
        <v>7</v>
      </c>
      <c r="G590" s="3">
        <f t="shared" si="54"/>
        <v>2026</v>
      </c>
      <c r="H590" s="6" t="str">
        <f>IF(A590&lt;&gt;" ",G590&amp;"-"&amp;F590&amp;"-"&amp;COUNTIFS($G$2:G590,G590,$F$2:F590,F590)," ")</f>
        <v>2026-7-12</v>
      </c>
    </row>
    <row r="591" spans="1:8" x14ac:dyDescent="0.25">
      <c r="A591" s="11">
        <v>46216</v>
      </c>
      <c r="B591" s="3" t="str">
        <f t="shared" si="51"/>
        <v>segunda-feira</v>
      </c>
      <c r="C591" s="13"/>
      <c r="D591" s="16"/>
      <c r="E591" s="4" t="str">
        <f t="shared" si="52"/>
        <v xml:space="preserve"> </v>
      </c>
      <c r="F591" s="3">
        <f t="shared" si="53"/>
        <v>7</v>
      </c>
      <c r="G591" s="3">
        <f t="shared" si="54"/>
        <v>2026</v>
      </c>
      <c r="H591" s="6" t="str">
        <f>IF(A591&lt;&gt;" ",G591&amp;"-"&amp;F591&amp;"-"&amp;COUNTIFS($G$2:G591,G591,$F$2:F591,F591)," ")</f>
        <v>2026-7-13</v>
      </c>
    </row>
    <row r="592" spans="1:8" x14ac:dyDescent="0.25">
      <c r="A592" s="11">
        <v>46217</v>
      </c>
      <c r="B592" s="3" t="str">
        <f t="shared" si="51"/>
        <v>terça-feira</v>
      </c>
      <c r="C592" s="13"/>
      <c r="D592" s="16"/>
      <c r="E592" s="4" t="str">
        <f t="shared" si="52"/>
        <v xml:space="preserve"> </v>
      </c>
      <c r="F592" s="3">
        <f t="shared" si="53"/>
        <v>7</v>
      </c>
      <c r="G592" s="3">
        <f t="shared" si="54"/>
        <v>2026</v>
      </c>
      <c r="H592" s="6" t="str">
        <f>IF(A592&lt;&gt;" ",G592&amp;"-"&amp;F592&amp;"-"&amp;COUNTIFS($G$2:G592,G592,$F$2:F592,F592)," ")</f>
        <v>2026-7-14</v>
      </c>
    </row>
    <row r="593" spans="1:8" x14ac:dyDescent="0.25">
      <c r="A593" s="11">
        <v>46218</v>
      </c>
      <c r="B593" s="3" t="str">
        <f t="shared" si="51"/>
        <v>quarta-feira</v>
      </c>
      <c r="C593" s="13"/>
      <c r="D593" s="16"/>
      <c r="E593" s="4" t="str">
        <f t="shared" si="52"/>
        <v xml:space="preserve"> </v>
      </c>
      <c r="F593" s="3">
        <f t="shared" si="53"/>
        <v>7</v>
      </c>
      <c r="G593" s="3">
        <f t="shared" si="54"/>
        <v>2026</v>
      </c>
      <c r="H593" s="6" t="str">
        <f>IF(A593&lt;&gt;" ",G593&amp;"-"&amp;F593&amp;"-"&amp;COUNTIFS($G$2:G593,G593,$F$2:F593,F593)," ")</f>
        <v>2026-7-15</v>
      </c>
    </row>
    <row r="594" spans="1:8" x14ac:dyDescent="0.25">
      <c r="A594" s="11">
        <v>46219</v>
      </c>
      <c r="B594" s="3" t="str">
        <f t="shared" si="51"/>
        <v>quinta-feira</v>
      </c>
      <c r="C594" s="13"/>
      <c r="D594" s="16"/>
      <c r="E594" s="4" t="str">
        <f t="shared" si="52"/>
        <v xml:space="preserve"> </v>
      </c>
      <c r="F594" s="3">
        <f t="shared" si="53"/>
        <v>7</v>
      </c>
      <c r="G594" s="3">
        <f t="shared" si="54"/>
        <v>2026</v>
      </c>
      <c r="H594" s="6" t="str">
        <f>IF(A594&lt;&gt;" ",G594&amp;"-"&amp;F594&amp;"-"&amp;COUNTIFS($G$2:G594,G594,$F$2:F594,F594)," ")</f>
        <v>2026-7-16</v>
      </c>
    </row>
    <row r="595" spans="1:8" x14ac:dyDescent="0.25">
      <c r="A595" s="11">
        <v>46220</v>
      </c>
      <c r="B595" s="3" t="str">
        <f t="shared" si="51"/>
        <v>sexta-feira</v>
      </c>
      <c r="C595" s="13"/>
      <c r="D595" s="16"/>
      <c r="E595" s="4" t="str">
        <f t="shared" si="52"/>
        <v xml:space="preserve"> </v>
      </c>
      <c r="F595" s="3">
        <f t="shared" si="53"/>
        <v>7</v>
      </c>
      <c r="G595" s="3">
        <f t="shared" si="54"/>
        <v>2026</v>
      </c>
      <c r="H595" s="6" t="str">
        <f>IF(A595&lt;&gt;" ",G595&amp;"-"&amp;F595&amp;"-"&amp;COUNTIFS($G$2:G595,G595,$F$2:F595,F595)," ")</f>
        <v>2026-7-17</v>
      </c>
    </row>
    <row r="596" spans="1:8" x14ac:dyDescent="0.25">
      <c r="A596" s="11">
        <v>46221</v>
      </c>
      <c r="B596" s="3" t="str">
        <f t="shared" si="51"/>
        <v>sábado</v>
      </c>
      <c r="C596" s="13"/>
      <c r="D596" s="16"/>
      <c r="E596" s="4" t="str">
        <f t="shared" si="52"/>
        <v xml:space="preserve"> </v>
      </c>
      <c r="F596" s="3">
        <f t="shared" si="53"/>
        <v>7</v>
      </c>
      <c r="G596" s="3">
        <f t="shared" si="54"/>
        <v>2026</v>
      </c>
      <c r="H596" s="6" t="str">
        <f>IF(A596&lt;&gt;" ",G596&amp;"-"&amp;F596&amp;"-"&amp;COUNTIFS($G$2:G596,G596,$F$2:F596,F596)," ")</f>
        <v>2026-7-18</v>
      </c>
    </row>
    <row r="597" spans="1:8" x14ac:dyDescent="0.25">
      <c r="A597" s="11">
        <v>46222</v>
      </c>
      <c r="B597" s="3" t="str">
        <f t="shared" si="51"/>
        <v>domingo</v>
      </c>
      <c r="C597" s="13"/>
      <c r="D597" s="16"/>
      <c r="E597" s="4" t="str">
        <f t="shared" si="52"/>
        <v xml:space="preserve"> </v>
      </c>
      <c r="F597" s="3">
        <f t="shared" si="53"/>
        <v>7</v>
      </c>
      <c r="G597" s="3">
        <f t="shared" si="54"/>
        <v>2026</v>
      </c>
      <c r="H597" s="6" t="str">
        <f>IF(A597&lt;&gt;" ",G597&amp;"-"&amp;F597&amp;"-"&amp;COUNTIFS($G$2:G597,G597,$F$2:F597,F597)," ")</f>
        <v>2026-7-19</v>
      </c>
    </row>
    <row r="598" spans="1:8" x14ac:dyDescent="0.25">
      <c r="A598" s="11">
        <v>46223</v>
      </c>
      <c r="B598" s="3" t="str">
        <f t="shared" si="51"/>
        <v>segunda-feira</v>
      </c>
      <c r="C598" s="13"/>
      <c r="D598" s="16"/>
      <c r="E598" s="4" t="str">
        <f t="shared" si="52"/>
        <v xml:space="preserve"> </v>
      </c>
      <c r="F598" s="3">
        <f t="shared" si="53"/>
        <v>7</v>
      </c>
      <c r="G598" s="3">
        <f t="shared" si="54"/>
        <v>2026</v>
      </c>
      <c r="H598" s="6" t="str">
        <f>IF(A598&lt;&gt;" ",G598&amp;"-"&amp;F598&amp;"-"&amp;COUNTIFS($G$2:G598,G598,$F$2:F598,F598)," ")</f>
        <v>2026-7-20</v>
      </c>
    </row>
    <row r="599" spans="1:8" x14ac:dyDescent="0.25">
      <c r="A599" s="11">
        <v>46224</v>
      </c>
      <c r="B599" s="3" t="str">
        <f t="shared" si="51"/>
        <v>terça-feira</v>
      </c>
      <c r="C599" s="13"/>
      <c r="D599" s="16"/>
      <c r="E599" s="4" t="str">
        <f t="shared" si="52"/>
        <v xml:space="preserve"> </v>
      </c>
      <c r="F599" s="3">
        <f t="shared" si="53"/>
        <v>7</v>
      </c>
      <c r="G599" s="3">
        <f t="shared" si="54"/>
        <v>2026</v>
      </c>
      <c r="H599" s="6" t="str">
        <f>IF(A599&lt;&gt;" ",G599&amp;"-"&amp;F599&amp;"-"&amp;COUNTIFS($G$2:G599,G599,$F$2:F599,F599)," ")</f>
        <v>2026-7-21</v>
      </c>
    </row>
    <row r="600" spans="1:8" x14ac:dyDescent="0.25">
      <c r="A600" s="11">
        <v>46225</v>
      </c>
      <c r="B600" s="3" t="str">
        <f t="shared" si="51"/>
        <v>quarta-feira</v>
      </c>
      <c r="C600" s="13"/>
      <c r="D600" s="16"/>
      <c r="E600" s="4" t="str">
        <f t="shared" si="52"/>
        <v xml:space="preserve"> </v>
      </c>
      <c r="F600" s="3">
        <f t="shared" si="53"/>
        <v>7</v>
      </c>
      <c r="G600" s="3">
        <f t="shared" si="54"/>
        <v>2026</v>
      </c>
      <c r="H600" s="6" t="str">
        <f>IF(A600&lt;&gt;" ",G600&amp;"-"&amp;F600&amp;"-"&amp;COUNTIFS($G$2:G600,G600,$F$2:F600,F600)," ")</f>
        <v>2026-7-22</v>
      </c>
    </row>
    <row r="601" spans="1:8" x14ac:dyDescent="0.25">
      <c r="A601" s="11">
        <v>46226</v>
      </c>
      <c r="B601" s="3" t="str">
        <f t="shared" ref="B601:B664" si="55">IF(A601&lt;&gt;" ",TEXT(A601,"dddd")," ")</f>
        <v>quinta-feira</v>
      </c>
      <c r="C601" s="13"/>
      <c r="D601" s="16"/>
      <c r="E601" s="4" t="str">
        <f t="shared" ref="E601:E664" si="56">IF(D601&gt;0,C601/D601," ")</f>
        <v xml:space="preserve"> </v>
      </c>
      <c r="F601" s="3">
        <f t="shared" ref="F601:F664" si="57">IF(A601&lt;&gt;" ",MONTH(A601)," ")</f>
        <v>7</v>
      </c>
      <c r="G601" s="3">
        <f t="shared" ref="G601:G664" si="58">IF(A601&lt;&gt;" ",YEAR(A601)," ")</f>
        <v>2026</v>
      </c>
      <c r="H601" s="6" t="str">
        <f>IF(A601&lt;&gt;" ",G601&amp;"-"&amp;F601&amp;"-"&amp;COUNTIFS($G$2:G601,G601,$F$2:F601,F601)," ")</f>
        <v>2026-7-23</v>
      </c>
    </row>
    <row r="602" spans="1:8" x14ac:dyDescent="0.25">
      <c r="A602" s="11">
        <v>46227</v>
      </c>
      <c r="B602" s="3" t="str">
        <f t="shared" si="55"/>
        <v>sexta-feira</v>
      </c>
      <c r="C602" s="13"/>
      <c r="D602" s="16"/>
      <c r="E602" s="4" t="str">
        <f t="shared" si="56"/>
        <v xml:space="preserve"> </v>
      </c>
      <c r="F602" s="3">
        <f t="shared" si="57"/>
        <v>7</v>
      </c>
      <c r="G602" s="3">
        <f t="shared" si="58"/>
        <v>2026</v>
      </c>
      <c r="H602" s="6" t="str">
        <f>IF(A602&lt;&gt;" ",G602&amp;"-"&amp;F602&amp;"-"&amp;COUNTIFS($G$2:G602,G602,$F$2:F602,F602)," ")</f>
        <v>2026-7-24</v>
      </c>
    </row>
    <row r="603" spans="1:8" x14ac:dyDescent="0.25">
      <c r="A603" s="11">
        <v>46228</v>
      </c>
      <c r="B603" s="3" t="str">
        <f t="shared" si="55"/>
        <v>sábado</v>
      </c>
      <c r="C603" s="13"/>
      <c r="D603" s="16"/>
      <c r="E603" s="4" t="str">
        <f t="shared" si="56"/>
        <v xml:space="preserve"> </v>
      </c>
      <c r="F603" s="3">
        <f t="shared" si="57"/>
        <v>7</v>
      </c>
      <c r="G603" s="3">
        <f t="shared" si="58"/>
        <v>2026</v>
      </c>
      <c r="H603" s="6" t="str">
        <f>IF(A603&lt;&gt;" ",G603&amp;"-"&amp;F603&amp;"-"&amp;COUNTIFS($G$2:G603,G603,$F$2:F603,F603)," ")</f>
        <v>2026-7-25</v>
      </c>
    </row>
    <row r="604" spans="1:8" x14ac:dyDescent="0.25">
      <c r="A604" s="11">
        <v>46229</v>
      </c>
      <c r="B604" s="3" t="str">
        <f t="shared" si="55"/>
        <v>domingo</v>
      </c>
      <c r="C604" s="13"/>
      <c r="D604" s="16"/>
      <c r="E604" s="4" t="str">
        <f t="shared" si="56"/>
        <v xml:space="preserve"> </v>
      </c>
      <c r="F604" s="3">
        <f t="shared" si="57"/>
        <v>7</v>
      </c>
      <c r="G604" s="3">
        <f t="shared" si="58"/>
        <v>2026</v>
      </c>
      <c r="H604" s="6" t="str">
        <f>IF(A604&lt;&gt;" ",G604&amp;"-"&amp;F604&amp;"-"&amp;COUNTIFS($G$2:G604,G604,$F$2:F604,F604)," ")</f>
        <v>2026-7-26</v>
      </c>
    </row>
    <row r="605" spans="1:8" x14ac:dyDescent="0.25">
      <c r="A605" s="11">
        <v>46230</v>
      </c>
      <c r="B605" s="3" t="str">
        <f t="shared" si="55"/>
        <v>segunda-feira</v>
      </c>
      <c r="C605" s="13"/>
      <c r="D605" s="16"/>
      <c r="E605" s="4" t="str">
        <f t="shared" si="56"/>
        <v xml:space="preserve"> </v>
      </c>
      <c r="F605" s="3">
        <f t="shared" si="57"/>
        <v>7</v>
      </c>
      <c r="G605" s="3">
        <f t="shared" si="58"/>
        <v>2026</v>
      </c>
      <c r="H605" s="6" t="str">
        <f>IF(A605&lt;&gt;" ",G605&amp;"-"&amp;F605&amp;"-"&amp;COUNTIFS($G$2:G605,G605,$F$2:F605,F605)," ")</f>
        <v>2026-7-27</v>
      </c>
    </row>
    <row r="606" spans="1:8" x14ac:dyDescent="0.25">
      <c r="A606" s="11">
        <v>46231</v>
      </c>
      <c r="B606" s="3" t="str">
        <f t="shared" si="55"/>
        <v>terça-feira</v>
      </c>
      <c r="C606" s="13"/>
      <c r="D606" s="16"/>
      <c r="E606" s="4" t="str">
        <f t="shared" si="56"/>
        <v xml:space="preserve"> </v>
      </c>
      <c r="F606" s="3">
        <f t="shared" si="57"/>
        <v>7</v>
      </c>
      <c r="G606" s="3">
        <f t="shared" si="58"/>
        <v>2026</v>
      </c>
      <c r="H606" s="6" t="str">
        <f>IF(A606&lt;&gt;" ",G606&amp;"-"&amp;F606&amp;"-"&amp;COUNTIFS($G$2:G606,G606,$F$2:F606,F606)," ")</f>
        <v>2026-7-28</v>
      </c>
    </row>
    <row r="607" spans="1:8" x14ac:dyDescent="0.25">
      <c r="A607" s="11">
        <v>46232</v>
      </c>
      <c r="B607" s="3" t="str">
        <f t="shared" si="55"/>
        <v>quarta-feira</v>
      </c>
      <c r="C607" s="13"/>
      <c r="D607" s="16"/>
      <c r="E607" s="4" t="str">
        <f t="shared" si="56"/>
        <v xml:space="preserve"> </v>
      </c>
      <c r="F607" s="3">
        <f t="shared" si="57"/>
        <v>7</v>
      </c>
      <c r="G607" s="3">
        <f t="shared" si="58"/>
        <v>2026</v>
      </c>
      <c r="H607" s="6" t="str">
        <f>IF(A607&lt;&gt;" ",G607&amp;"-"&amp;F607&amp;"-"&amp;COUNTIFS($G$2:G607,G607,$F$2:F607,F607)," ")</f>
        <v>2026-7-29</v>
      </c>
    </row>
    <row r="608" spans="1:8" x14ac:dyDescent="0.25">
      <c r="A608" s="11">
        <v>46233</v>
      </c>
      <c r="B608" s="3" t="str">
        <f t="shared" si="55"/>
        <v>quinta-feira</v>
      </c>
      <c r="C608" s="13"/>
      <c r="D608" s="16"/>
      <c r="E608" s="4" t="str">
        <f t="shared" si="56"/>
        <v xml:space="preserve"> </v>
      </c>
      <c r="F608" s="3">
        <f t="shared" si="57"/>
        <v>7</v>
      </c>
      <c r="G608" s="3">
        <f t="shared" si="58"/>
        <v>2026</v>
      </c>
      <c r="H608" s="6" t="str">
        <f>IF(A608&lt;&gt;" ",G608&amp;"-"&amp;F608&amp;"-"&amp;COUNTIFS($G$2:G608,G608,$F$2:F608,F608)," ")</f>
        <v>2026-7-30</v>
      </c>
    </row>
    <row r="609" spans="1:8" x14ac:dyDescent="0.25">
      <c r="A609" s="11">
        <v>46234</v>
      </c>
      <c r="B609" s="3" t="str">
        <f t="shared" si="55"/>
        <v>sexta-feira</v>
      </c>
      <c r="C609" s="13"/>
      <c r="D609" s="16"/>
      <c r="E609" s="4" t="str">
        <f t="shared" si="56"/>
        <v xml:space="preserve"> </v>
      </c>
      <c r="F609" s="3">
        <f t="shared" si="57"/>
        <v>7</v>
      </c>
      <c r="G609" s="3">
        <f t="shared" si="58"/>
        <v>2026</v>
      </c>
      <c r="H609" s="6" t="str">
        <f>IF(A609&lt;&gt;" ",G609&amp;"-"&amp;F609&amp;"-"&amp;COUNTIFS($G$2:G609,G609,$F$2:F609,F609)," ")</f>
        <v>2026-7-31</v>
      </c>
    </row>
    <row r="610" spans="1:8" x14ac:dyDescent="0.25">
      <c r="A610" s="11">
        <v>46235</v>
      </c>
      <c r="B610" s="3" t="str">
        <f t="shared" si="55"/>
        <v>sábado</v>
      </c>
      <c r="C610" s="13"/>
      <c r="D610" s="16"/>
      <c r="E610" s="4" t="str">
        <f t="shared" si="56"/>
        <v xml:space="preserve"> </v>
      </c>
      <c r="F610" s="3">
        <f t="shared" si="57"/>
        <v>8</v>
      </c>
      <c r="G610" s="3">
        <f t="shared" si="58"/>
        <v>2026</v>
      </c>
      <c r="H610" s="6" t="str">
        <f>IF(A610&lt;&gt;" ",G610&amp;"-"&amp;F610&amp;"-"&amp;COUNTIFS($G$2:G610,G610,$F$2:F610,F610)," ")</f>
        <v>2026-8-1</v>
      </c>
    </row>
    <row r="611" spans="1:8" x14ac:dyDescent="0.25">
      <c r="A611" s="11">
        <v>46236</v>
      </c>
      <c r="B611" s="3" t="str">
        <f t="shared" si="55"/>
        <v>domingo</v>
      </c>
      <c r="C611" s="13"/>
      <c r="D611" s="16"/>
      <c r="E611" s="4" t="str">
        <f t="shared" si="56"/>
        <v xml:space="preserve"> </v>
      </c>
      <c r="F611" s="3">
        <f t="shared" si="57"/>
        <v>8</v>
      </c>
      <c r="G611" s="3">
        <f t="shared" si="58"/>
        <v>2026</v>
      </c>
      <c r="H611" s="6" t="str">
        <f>IF(A611&lt;&gt;" ",G611&amp;"-"&amp;F611&amp;"-"&amp;COUNTIFS($G$2:G611,G611,$F$2:F611,F611)," ")</f>
        <v>2026-8-2</v>
      </c>
    </row>
    <row r="612" spans="1:8" x14ac:dyDescent="0.25">
      <c r="A612" s="11">
        <v>46237</v>
      </c>
      <c r="B612" s="3" t="str">
        <f t="shared" si="55"/>
        <v>segunda-feira</v>
      </c>
      <c r="C612" s="13"/>
      <c r="D612" s="16"/>
      <c r="E612" s="4" t="str">
        <f t="shared" si="56"/>
        <v xml:space="preserve"> </v>
      </c>
      <c r="F612" s="3">
        <f t="shared" si="57"/>
        <v>8</v>
      </c>
      <c r="G612" s="3">
        <f t="shared" si="58"/>
        <v>2026</v>
      </c>
      <c r="H612" s="6" t="str">
        <f>IF(A612&lt;&gt;" ",G612&amp;"-"&amp;F612&amp;"-"&amp;COUNTIFS($G$2:G612,G612,$F$2:F612,F612)," ")</f>
        <v>2026-8-3</v>
      </c>
    </row>
    <row r="613" spans="1:8" x14ac:dyDescent="0.25">
      <c r="A613" s="11">
        <v>46238</v>
      </c>
      <c r="B613" s="3" t="str">
        <f t="shared" si="55"/>
        <v>terça-feira</v>
      </c>
      <c r="C613" s="13"/>
      <c r="D613" s="16"/>
      <c r="E613" s="4" t="str">
        <f t="shared" si="56"/>
        <v xml:space="preserve"> </v>
      </c>
      <c r="F613" s="3">
        <f t="shared" si="57"/>
        <v>8</v>
      </c>
      <c r="G613" s="3">
        <f t="shared" si="58"/>
        <v>2026</v>
      </c>
      <c r="H613" s="6" t="str">
        <f>IF(A613&lt;&gt;" ",G613&amp;"-"&amp;F613&amp;"-"&amp;COUNTIFS($G$2:G613,G613,$F$2:F613,F613)," ")</f>
        <v>2026-8-4</v>
      </c>
    </row>
    <row r="614" spans="1:8" x14ac:dyDescent="0.25">
      <c r="A614" s="11">
        <v>46239</v>
      </c>
      <c r="B614" s="3" t="str">
        <f t="shared" si="55"/>
        <v>quarta-feira</v>
      </c>
      <c r="C614" s="13"/>
      <c r="D614" s="16"/>
      <c r="E614" s="4" t="str">
        <f t="shared" si="56"/>
        <v xml:space="preserve"> </v>
      </c>
      <c r="F614" s="3">
        <f t="shared" si="57"/>
        <v>8</v>
      </c>
      <c r="G614" s="3">
        <f t="shared" si="58"/>
        <v>2026</v>
      </c>
      <c r="H614" s="6" t="str">
        <f>IF(A614&lt;&gt;" ",G614&amp;"-"&amp;F614&amp;"-"&amp;COUNTIFS($G$2:G614,G614,$F$2:F614,F614)," ")</f>
        <v>2026-8-5</v>
      </c>
    </row>
    <row r="615" spans="1:8" x14ac:dyDescent="0.25">
      <c r="A615" s="11">
        <v>46240</v>
      </c>
      <c r="B615" s="3" t="str">
        <f t="shared" si="55"/>
        <v>quinta-feira</v>
      </c>
      <c r="C615" s="13"/>
      <c r="D615" s="16"/>
      <c r="E615" s="4" t="str">
        <f t="shared" si="56"/>
        <v xml:space="preserve"> </v>
      </c>
      <c r="F615" s="3">
        <f t="shared" si="57"/>
        <v>8</v>
      </c>
      <c r="G615" s="3">
        <f t="shared" si="58"/>
        <v>2026</v>
      </c>
      <c r="H615" s="6" t="str">
        <f>IF(A615&lt;&gt;" ",G615&amp;"-"&amp;F615&amp;"-"&amp;COUNTIFS($G$2:G615,G615,$F$2:F615,F615)," ")</f>
        <v>2026-8-6</v>
      </c>
    </row>
    <row r="616" spans="1:8" x14ac:dyDescent="0.25">
      <c r="A616" s="11">
        <v>46241</v>
      </c>
      <c r="B616" s="3" t="str">
        <f t="shared" si="55"/>
        <v>sexta-feira</v>
      </c>
      <c r="C616" s="13"/>
      <c r="D616" s="16"/>
      <c r="E616" s="4" t="str">
        <f t="shared" si="56"/>
        <v xml:space="preserve"> </v>
      </c>
      <c r="F616" s="3">
        <f t="shared" si="57"/>
        <v>8</v>
      </c>
      <c r="G616" s="3">
        <f t="shared" si="58"/>
        <v>2026</v>
      </c>
      <c r="H616" s="6" t="str">
        <f>IF(A616&lt;&gt;" ",G616&amp;"-"&amp;F616&amp;"-"&amp;COUNTIFS($G$2:G616,G616,$F$2:F616,F616)," ")</f>
        <v>2026-8-7</v>
      </c>
    </row>
    <row r="617" spans="1:8" x14ac:dyDescent="0.25">
      <c r="A617" s="11">
        <v>46242</v>
      </c>
      <c r="B617" s="3" t="str">
        <f t="shared" si="55"/>
        <v>sábado</v>
      </c>
      <c r="C617" s="13"/>
      <c r="D617" s="16"/>
      <c r="E617" s="4" t="str">
        <f t="shared" si="56"/>
        <v xml:space="preserve"> </v>
      </c>
      <c r="F617" s="3">
        <f t="shared" si="57"/>
        <v>8</v>
      </c>
      <c r="G617" s="3">
        <f t="shared" si="58"/>
        <v>2026</v>
      </c>
      <c r="H617" s="6" t="str">
        <f>IF(A617&lt;&gt;" ",G617&amp;"-"&amp;F617&amp;"-"&amp;COUNTIFS($G$2:G617,G617,$F$2:F617,F617)," ")</f>
        <v>2026-8-8</v>
      </c>
    </row>
    <row r="618" spans="1:8" x14ac:dyDescent="0.25">
      <c r="A618" s="11">
        <v>46243</v>
      </c>
      <c r="B618" s="3" t="str">
        <f t="shared" si="55"/>
        <v>domingo</v>
      </c>
      <c r="C618" s="13"/>
      <c r="D618" s="16"/>
      <c r="E618" s="4" t="str">
        <f t="shared" si="56"/>
        <v xml:space="preserve"> </v>
      </c>
      <c r="F618" s="3">
        <f t="shared" si="57"/>
        <v>8</v>
      </c>
      <c r="G618" s="3">
        <f t="shared" si="58"/>
        <v>2026</v>
      </c>
      <c r="H618" s="6" t="str">
        <f>IF(A618&lt;&gt;" ",G618&amp;"-"&amp;F618&amp;"-"&amp;COUNTIFS($G$2:G618,G618,$F$2:F618,F618)," ")</f>
        <v>2026-8-9</v>
      </c>
    </row>
    <row r="619" spans="1:8" x14ac:dyDescent="0.25">
      <c r="A619" s="11">
        <v>46244</v>
      </c>
      <c r="B619" s="3" t="str">
        <f t="shared" si="55"/>
        <v>segunda-feira</v>
      </c>
      <c r="C619" s="13"/>
      <c r="D619" s="16"/>
      <c r="E619" s="4" t="str">
        <f t="shared" si="56"/>
        <v xml:space="preserve"> </v>
      </c>
      <c r="F619" s="3">
        <f t="shared" si="57"/>
        <v>8</v>
      </c>
      <c r="G619" s="3">
        <f t="shared" si="58"/>
        <v>2026</v>
      </c>
      <c r="H619" s="6" t="str">
        <f>IF(A619&lt;&gt;" ",G619&amp;"-"&amp;F619&amp;"-"&amp;COUNTIFS($G$2:G619,G619,$F$2:F619,F619)," ")</f>
        <v>2026-8-10</v>
      </c>
    </row>
    <row r="620" spans="1:8" x14ac:dyDescent="0.25">
      <c r="A620" s="11">
        <v>46245</v>
      </c>
      <c r="B620" s="3" t="str">
        <f t="shared" si="55"/>
        <v>terça-feira</v>
      </c>
      <c r="C620" s="13"/>
      <c r="D620" s="16"/>
      <c r="E620" s="4" t="str">
        <f t="shared" si="56"/>
        <v xml:space="preserve"> </v>
      </c>
      <c r="F620" s="3">
        <f t="shared" si="57"/>
        <v>8</v>
      </c>
      <c r="G620" s="3">
        <f t="shared" si="58"/>
        <v>2026</v>
      </c>
      <c r="H620" s="6" t="str">
        <f>IF(A620&lt;&gt;" ",G620&amp;"-"&amp;F620&amp;"-"&amp;COUNTIFS($G$2:G620,G620,$F$2:F620,F620)," ")</f>
        <v>2026-8-11</v>
      </c>
    </row>
    <row r="621" spans="1:8" x14ac:dyDescent="0.25">
      <c r="A621" s="11">
        <v>46246</v>
      </c>
      <c r="B621" s="3" t="str">
        <f t="shared" si="55"/>
        <v>quarta-feira</v>
      </c>
      <c r="C621" s="13"/>
      <c r="D621" s="16"/>
      <c r="E621" s="4" t="str">
        <f t="shared" si="56"/>
        <v xml:space="preserve"> </v>
      </c>
      <c r="F621" s="3">
        <f t="shared" si="57"/>
        <v>8</v>
      </c>
      <c r="G621" s="3">
        <f t="shared" si="58"/>
        <v>2026</v>
      </c>
      <c r="H621" s="6" t="str">
        <f>IF(A621&lt;&gt;" ",G621&amp;"-"&amp;F621&amp;"-"&amp;COUNTIFS($G$2:G621,G621,$F$2:F621,F621)," ")</f>
        <v>2026-8-12</v>
      </c>
    </row>
    <row r="622" spans="1:8" x14ac:dyDescent="0.25">
      <c r="A622" s="11">
        <v>46247</v>
      </c>
      <c r="B622" s="3" t="str">
        <f t="shared" si="55"/>
        <v>quinta-feira</v>
      </c>
      <c r="C622" s="13"/>
      <c r="D622" s="16"/>
      <c r="E622" s="4" t="str">
        <f t="shared" si="56"/>
        <v xml:space="preserve"> </v>
      </c>
      <c r="F622" s="3">
        <f t="shared" si="57"/>
        <v>8</v>
      </c>
      <c r="G622" s="3">
        <f t="shared" si="58"/>
        <v>2026</v>
      </c>
      <c r="H622" s="6" t="str">
        <f>IF(A622&lt;&gt;" ",G622&amp;"-"&amp;F622&amp;"-"&amp;COUNTIFS($G$2:G622,G622,$F$2:F622,F622)," ")</f>
        <v>2026-8-13</v>
      </c>
    </row>
    <row r="623" spans="1:8" x14ac:dyDescent="0.25">
      <c r="A623" s="11">
        <v>46248</v>
      </c>
      <c r="B623" s="3" t="str">
        <f t="shared" si="55"/>
        <v>sexta-feira</v>
      </c>
      <c r="C623" s="13"/>
      <c r="D623" s="16"/>
      <c r="E623" s="4" t="str">
        <f t="shared" si="56"/>
        <v xml:space="preserve"> </v>
      </c>
      <c r="F623" s="3">
        <f t="shared" si="57"/>
        <v>8</v>
      </c>
      <c r="G623" s="3">
        <f t="shared" si="58"/>
        <v>2026</v>
      </c>
      <c r="H623" s="6" t="str">
        <f>IF(A623&lt;&gt;" ",G623&amp;"-"&amp;F623&amp;"-"&amp;COUNTIFS($G$2:G623,G623,$F$2:F623,F623)," ")</f>
        <v>2026-8-14</v>
      </c>
    </row>
    <row r="624" spans="1:8" x14ac:dyDescent="0.25">
      <c r="A624" s="11">
        <v>46249</v>
      </c>
      <c r="B624" s="3" t="str">
        <f t="shared" si="55"/>
        <v>sábado</v>
      </c>
      <c r="C624" s="13"/>
      <c r="D624" s="16"/>
      <c r="E624" s="4" t="str">
        <f t="shared" si="56"/>
        <v xml:space="preserve"> </v>
      </c>
      <c r="F624" s="3">
        <f t="shared" si="57"/>
        <v>8</v>
      </c>
      <c r="G624" s="3">
        <f t="shared" si="58"/>
        <v>2026</v>
      </c>
      <c r="H624" s="6" t="str">
        <f>IF(A624&lt;&gt;" ",G624&amp;"-"&amp;F624&amp;"-"&amp;COUNTIFS($G$2:G624,G624,$F$2:F624,F624)," ")</f>
        <v>2026-8-15</v>
      </c>
    </row>
    <row r="625" spans="1:8" x14ac:dyDescent="0.25">
      <c r="A625" s="11">
        <v>46250</v>
      </c>
      <c r="B625" s="3" t="str">
        <f t="shared" si="55"/>
        <v>domingo</v>
      </c>
      <c r="C625" s="13"/>
      <c r="D625" s="16"/>
      <c r="E625" s="4" t="str">
        <f t="shared" si="56"/>
        <v xml:space="preserve"> </v>
      </c>
      <c r="F625" s="3">
        <f t="shared" si="57"/>
        <v>8</v>
      </c>
      <c r="G625" s="3">
        <f t="shared" si="58"/>
        <v>2026</v>
      </c>
      <c r="H625" s="6" t="str">
        <f>IF(A625&lt;&gt;" ",G625&amp;"-"&amp;F625&amp;"-"&amp;COUNTIFS($G$2:G625,G625,$F$2:F625,F625)," ")</f>
        <v>2026-8-16</v>
      </c>
    </row>
    <row r="626" spans="1:8" x14ac:dyDescent="0.25">
      <c r="A626" s="11">
        <v>46251</v>
      </c>
      <c r="B626" s="3" t="str">
        <f t="shared" si="55"/>
        <v>segunda-feira</v>
      </c>
      <c r="C626" s="13"/>
      <c r="D626" s="16"/>
      <c r="E626" s="4" t="str">
        <f t="shared" si="56"/>
        <v xml:space="preserve"> </v>
      </c>
      <c r="F626" s="3">
        <f t="shared" si="57"/>
        <v>8</v>
      </c>
      <c r="G626" s="3">
        <f t="shared" si="58"/>
        <v>2026</v>
      </c>
      <c r="H626" s="6" t="str">
        <f>IF(A626&lt;&gt;" ",G626&amp;"-"&amp;F626&amp;"-"&amp;COUNTIFS($G$2:G626,G626,$F$2:F626,F626)," ")</f>
        <v>2026-8-17</v>
      </c>
    </row>
    <row r="627" spans="1:8" x14ac:dyDescent="0.25">
      <c r="A627" s="11">
        <v>46252</v>
      </c>
      <c r="B627" s="3" t="str">
        <f t="shared" si="55"/>
        <v>terça-feira</v>
      </c>
      <c r="C627" s="13"/>
      <c r="D627" s="16"/>
      <c r="E627" s="4" t="str">
        <f t="shared" si="56"/>
        <v xml:space="preserve"> </v>
      </c>
      <c r="F627" s="3">
        <f t="shared" si="57"/>
        <v>8</v>
      </c>
      <c r="G627" s="3">
        <f t="shared" si="58"/>
        <v>2026</v>
      </c>
      <c r="H627" s="6" t="str">
        <f>IF(A627&lt;&gt;" ",G627&amp;"-"&amp;F627&amp;"-"&amp;COUNTIFS($G$2:G627,G627,$F$2:F627,F627)," ")</f>
        <v>2026-8-18</v>
      </c>
    </row>
    <row r="628" spans="1:8" x14ac:dyDescent="0.25">
      <c r="A628" s="11">
        <v>46253</v>
      </c>
      <c r="B628" s="3" t="str">
        <f t="shared" si="55"/>
        <v>quarta-feira</v>
      </c>
      <c r="C628" s="13"/>
      <c r="D628" s="16"/>
      <c r="E628" s="4" t="str">
        <f t="shared" si="56"/>
        <v xml:space="preserve"> </v>
      </c>
      <c r="F628" s="3">
        <f t="shared" si="57"/>
        <v>8</v>
      </c>
      <c r="G628" s="3">
        <f t="shared" si="58"/>
        <v>2026</v>
      </c>
      <c r="H628" s="6" t="str">
        <f>IF(A628&lt;&gt;" ",G628&amp;"-"&amp;F628&amp;"-"&amp;COUNTIFS($G$2:G628,G628,$F$2:F628,F628)," ")</f>
        <v>2026-8-19</v>
      </c>
    </row>
    <row r="629" spans="1:8" x14ac:dyDescent="0.25">
      <c r="A629" s="11">
        <v>46254</v>
      </c>
      <c r="B629" s="3" t="str">
        <f t="shared" si="55"/>
        <v>quinta-feira</v>
      </c>
      <c r="C629" s="13"/>
      <c r="D629" s="16"/>
      <c r="E629" s="4" t="str">
        <f t="shared" si="56"/>
        <v xml:space="preserve"> </v>
      </c>
      <c r="F629" s="3">
        <f t="shared" si="57"/>
        <v>8</v>
      </c>
      <c r="G629" s="3">
        <f t="shared" si="58"/>
        <v>2026</v>
      </c>
      <c r="H629" s="6" t="str">
        <f>IF(A629&lt;&gt;" ",G629&amp;"-"&amp;F629&amp;"-"&amp;COUNTIFS($G$2:G629,G629,$F$2:F629,F629)," ")</f>
        <v>2026-8-20</v>
      </c>
    </row>
    <row r="630" spans="1:8" x14ac:dyDescent="0.25">
      <c r="A630" s="11">
        <v>46255</v>
      </c>
      <c r="B630" s="3" t="str">
        <f t="shared" si="55"/>
        <v>sexta-feira</v>
      </c>
      <c r="C630" s="13"/>
      <c r="D630" s="16"/>
      <c r="E630" s="4" t="str">
        <f t="shared" si="56"/>
        <v xml:space="preserve"> </v>
      </c>
      <c r="F630" s="3">
        <f t="shared" si="57"/>
        <v>8</v>
      </c>
      <c r="G630" s="3">
        <f t="shared" si="58"/>
        <v>2026</v>
      </c>
      <c r="H630" s="6" t="str">
        <f>IF(A630&lt;&gt;" ",G630&amp;"-"&amp;F630&amp;"-"&amp;COUNTIFS($G$2:G630,G630,$F$2:F630,F630)," ")</f>
        <v>2026-8-21</v>
      </c>
    </row>
    <row r="631" spans="1:8" x14ac:dyDescent="0.25">
      <c r="A631" s="11">
        <v>46256</v>
      </c>
      <c r="B631" s="3" t="str">
        <f t="shared" si="55"/>
        <v>sábado</v>
      </c>
      <c r="C631" s="13"/>
      <c r="D631" s="16"/>
      <c r="E631" s="4" t="str">
        <f t="shared" si="56"/>
        <v xml:space="preserve"> </v>
      </c>
      <c r="F631" s="3">
        <f t="shared" si="57"/>
        <v>8</v>
      </c>
      <c r="G631" s="3">
        <f t="shared" si="58"/>
        <v>2026</v>
      </c>
      <c r="H631" s="6" t="str">
        <f>IF(A631&lt;&gt;" ",G631&amp;"-"&amp;F631&amp;"-"&amp;COUNTIFS($G$2:G631,G631,$F$2:F631,F631)," ")</f>
        <v>2026-8-22</v>
      </c>
    </row>
    <row r="632" spans="1:8" x14ac:dyDescent="0.25">
      <c r="A632" s="11">
        <v>46257</v>
      </c>
      <c r="B632" s="3" t="str">
        <f t="shared" si="55"/>
        <v>domingo</v>
      </c>
      <c r="C632" s="13"/>
      <c r="D632" s="16"/>
      <c r="E632" s="4" t="str">
        <f t="shared" si="56"/>
        <v xml:space="preserve"> </v>
      </c>
      <c r="F632" s="3">
        <f t="shared" si="57"/>
        <v>8</v>
      </c>
      <c r="G632" s="3">
        <f t="shared" si="58"/>
        <v>2026</v>
      </c>
      <c r="H632" s="6" t="str">
        <f>IF(A632&lt;&gt;" ",G632&amp;"-"&amp;F632&amp;"-"&amp;COUNTIFS($G$2:G632,G632,$F$2:F632,F632)," ")</f>
        <v>2026-8-23</v>
      </c>
    </row>
    <row r="633" spans="1:8" x14ac:dyDescent="0.25">
      <c r="A633" s="11">
        <v>46258</v>
      </c>
      <c r="B633" s="3" t="str">
        <f t="shared" si="55"/>
        <v>segunda-feira</v>
      </c>
      <c r="C633" s="13"/>
      <c r="D633" s="16"/>
      <c r="E633" s="4" t="str">
        <f t="shared" si="56"/>
        <v xml:space="preserve"> </v>
      </c>
      <c r="F633" s="3">
        <f t="shared" si="57"/>
        <v>8</v>
      </c>
      <c r="G633" s="3">
        <f t="shared" si="58"/>
        <v>2026</v>
      </c>
      <c r="H633" s="6" t="str">
        <f>IF(A633&lt;&gt;" ",G633&amp;"-"&amp;F633&amp;"-"&amp;COUNTIFS($G$2:G633,G633,$F$2:F633,F633)," ")</f>
        <v>2026-8-24</v>
      </c>
    </row>
    <row r="634" spans="1:8" x14ac:dyDescent="0.25">
      <c r="A634" s="11">
        <v>46259</v>
      </c>
      <c r="B634" s="3" t="str">
        <f t="shared" si="55"/>
        <v>terça-feira</v>
      </c>
      <c r="C634" s="13"/>
      <c r="D634" s="16"/>
      <c r="E634" s="4" t="str">
        <f t="shared" si="56"/>
        <v xml:space="preserve"> </v>
      </c>
      <c r="F634" s="3">
        <f t="shared" si="57"/>
        <v>8</v>
      </c>
      <c r="G634" s="3">
        <f t="shared" si="58"/>
        <v>2026</v>
      </c>
      <c r="H634" s="6" t="str">
        <f>IF(A634&lt;&gt;" ",G634&amp;"-"&amp;F634&amp;"-"&amp;COUNTIFS($G$2:G634,G634,$F$2:F634,F634)," ")</f>
        <v>2026-8-25</v>
      </c>
    </row>
    <row r="635" spans="1:8" x14ac:dyDescent="0.25">
      <c r="A635" s="11">
        <v>46260</v>
      </c>
      <c r="B635" s="3" t="str">
        <f t="shared" si="55"/>
        <v>quarta-feira</v>
      </c>
      <c r="C635" s="13"/>
      <c r="D635" s="16"/>
      <c r="E635" s="4" t="str">
        <f t="shared" si="56"/>
        <v xml:space="preserve"> </v>
      </c>
      <c r="F635" s="3">
        <f t="shared" si="57"/>
        <v>8</v>
      </c>
      <c r="G635" s="3">
        <f t="shared" si="58"/>
        <v>2026</v>
      </c>
      <c r="H635" s="6" t="str">
        <f>IF(A635&lt;&gt;" ",G635&amp;"-"&amp;F635&amp;"-"&amp;COUNTIFS($G$2:G635,G635,$F$2:F635,F635)," ")</f>
        <v>2026-8-26</v>
      </c>
    </row>
    <row r="636" spans="1:8" x14ac:dyDescent="0.25">
      <c r="A636" s="11">
        <v>46261</v>
      </c>
      <c r="B636" s="3" t="str">
        <f t="shared" si="55"/>
        <v>quinta-feira</v>
      </c>
      <c r="C636" s="13"/>
      <c r="D636" s="16"/>
      <c r="E636" s="4" t="str">
        <f t="shared" si="56"/>
        <v xml:space="preserve"> </v>
      </c>
      <c r="F636" s="3">
        <f t="shared" si="57"/>
        <v>8</v>
      </c>
      <c r="G636" s="3">
        <f t="shared" si="58"/>
        <v>2026</v>
      </c>
      <c r="H636" s="6" t="str">
        <f>IF(A636&lt;&gt;" ",G636&amp;"-"&amp;F636&amp;"-"&amp;COUNTIFS($G$2:G636,G636,$F$2:F636,F636)," ")</f>
        <v>2026-8-27</v>
      </c>
    </row>
    <row r="637" spans="1:8" x14ac:dyDescent="0.25">
      <c r="A637" s="11">
        <v>46262</v>
      </c>
      <c r="B637" s="3" t="str">
        <f t="shared" si="55"/>
        <v>sexta-feira</v>
      </c>
      <c r="C637" s="13"/>
      <c r="D637" s="16"/>
      <c r="E637" s="4" t="str">
        <f t="shared" si="56"/>
        <v xml:space="preserve"> </v>
      </c>
      <c r="F637" s="3">
        <f t="shared" si="57"/>
        <v>8</v>
      </c>
      <c r="G637" s="3">
        <f t="shared" si="58"/>
        <v>2026</v>
      </c>
      <c r="H637" s="6" t="str">
        <f>IF(A637&lt;&gt;" ",G637&amp;"-"&amp;F637&amp;"-"&amp;COUNTIFS($G$2:G637,G637,$F$2:F637,F637)," ")</f>
        <v>2026-8-28</v>
      </c>
    </row>
    <row r="638" spans="1:8" x14ac:dyDescent="0.25">
      <c r="A638" s="11">
        <v>46263</v>
      </c>
      <c r="B638" s="3" t="str">
        <f t="shared" si="55"/>
        <v>sábado</v>
      </c>
      <c r="C638" s="13"/>
      <c r="D638" s="16"/>
      <c r="E638" s="4" t="str">
        <f t="shared" si="56"/>
        <v xml:space="preserve"> </v>
      </c>
      <c r="F638" s="3">
        <f t="shared" si="57"/>
        <v>8</v>
      </c>
      <c r="G638" s="3">
        <f t="shared" si="58"/>
        <v>2026</v>
      </c>
      <c r="H638" s="6" t="str">
        <f>IF(A638&lt;&gt;" ",G638&amp;"-"&amp;F638&amp;"-"&amp;COUNTIFS($G$2:G638,G638,$F$2:F638,F638)," ")</f>
        <v>2026-8-29</v>
      </c>
    </row>
    <row r="639" spans="1:8" x14ac:dyDescent="0.25">
      <c r="A639" s="11">
        <v>46264</v>
      </c>
      <c r="B639" s="3" t="str">
        <f t="shared" si="55"/>
        <v>domingo</v>
      </c>
      <c r="C639" s="13"/>
      <c r="D639" s="16"/>
      <c r="E639" s="4" t="str">
        <f t="shared" si="56"/>
        <v xml:space="preserve"> </v>
      </c>
      <c r="F639" s="3">
        <f t="shared" si="57"/>
        <v>8</v>
      </c>
      <c r="G639" s="3">
        <f t="shared" si="58"/>
        <v>2026</v>
      </c>
      <c r="H639" s="6" t="str">
        <f>IF(A639&lt;&gt;" ",G639&amp;"-"&amp;F639&amp;"-"&amp;COUNTIFS($G$2:G639,G639,$F$2:F639,F639)," ")</f>
        <v>2026-8-30</v>
      </c>
    </row>
    <row r="640" spans="1:8" x14ac:dyDescent="0.25">
      <c r="A640" s="11">
        <v>46265</v>
      </c>
      <c r="B640" s="3" t="str">
        <f t="shared" si="55"/>
        <v>segunda-feira</v>
      </c>
      <c r="C640" s="13"/>
      <c r="D640" s="16"/>
      <c r="E640" s="4" t="str">
        <f t="shared" si="56"/>
        <v xml:space="preserve"> </v>
      </c>
      <c r="F640" s="3">
        <f t="shared" si="57"/>
        <v>8</v>
      </c>
      <c r="G640" s="3">
        <f t="shared" si="58"/>
        <v>2026</v>
      </c>
      <c r="H640" s="6" t="str">
        <f>IF(A640&lt;&gt;" ",G640&amp;"-"&amp;F640&amp;"-"&amp;COUNTIFS($G$2:G640,G640,$F$2:F640,F640)," ")</f>
        <v>2026-8-31</v>
      </c>
    </row>
    <row r="641" spans="1:8" x14ac:dyDescent="0.25">
      <c r="A641" s="11">
        <v>46266</v>
      </c>
      <c r="B641" s="3" t="str">
        <f t="shared" si="55"/>
        <v>terça-feira</v>
      </c>
      <c r="C641" s="13"/>
      <c r="D641" s="16"/>
      <c r="E641" s="4" t="str">
        <f t="shared" si="56"/>
        <v xml:space="preserve"> </v>
      </c>
      <c r="F641" s="3">
        <f t="shared" si="57"/>
        <v>9</v>
      </c>
      <c r="G641" s="3">
        <f t="shared" si="58"/>
        <v>2026</v>
      </c>
      <c r="H641" s="6" t="str">
        <f>IF(A641&lt;&gt;" ",G641&amp;"-"&amp;F641&amp;"-"&amp;COUNTIFS($G$2:G641,G641,$F$2:F641,F641)," ")</f>
        <v>2026-9-1</v>
      </c>
    </row>
    <row r="642" spans="1:8" x14ac:dyDescent="0.25">
      <c r="A642" s="11">
        <v>46267</v>
      </c>
      <c r="B642" s="3" t="str">
        <f t="shared" si="55"/>
        <v>quarta-feira</v>
      </c>
      <c r="C642" s="13"/>
      <c r="D642" s="16"/>
      <c r="E642" s="4" t="str">
        <f t="shared" si="56"/>
        <v xml:space="preserve"> </v>
      </c>
      <c r="F642" s="3">
        <f t="shared" si="57"/>
        <v>9</v>
      </c>
      <c r="G642" s="3">
        <f t="shared" si="58"/>
        <v>2026</v>
      </c>
      <c r="H642" s="6" t="str">
        <f>IF(A642&lt;&gt;" ",G642&amp;"-"&amp;F642&amp;"-"&amp;COUNTIFS($G$2:G642,G642,$F$2:F642,F642)," ")</f>
        <v>2026-9-2</v>
      </c>
    </row>
    <row r="643" spans="1:8" x14ac:dyDescent="0.25">
      <c r="A643" s="11">
        <v>46268</v>
      </c>
      <c r="B643" s="3" t="str">
        <f t="shared" si="55"/>
        <v>quinta-feira</v>
      </c>
      <c r="C643" s="13"/>
      <c r="D643" s="16"/>
      <c r="E643" s="4" t="str">
        <f t="shared" si="56"/>
        <v xml:space="preserve"> </v>
      </c>
      <c r="F643" s="3">
        <f t="shared" si="57"/>
        <v>9</v>
      </c>
      <c r="G643" s="3">
        <f t="shared" si="58"/>
        <v>2026</v>
      </c>
      <c r="H643" s="6" t="str">
        <f>IF(A643&lt;&gt;" ",G643&amp;"-"&amp;F643&amp;"-"&amp;COUNTIFS($G$2:G643,G643,$F$2:F643,F643)," ")</f>
        <v>2026-9-3</v>
      </c>
    </row>
    <row r="644" spans="1:8" x14ac:dyDescent="0.25">
      <c r="A644" s="11">
        <v>46269</v>
      </c>
      <c r="B644" s="3" t="str">
        <f t="shared" si="55"/>
        <v>sexta-feira</v>
      </c>
      <c r="C644" s="13"/>
      <c r="D644" s="16"/>
      <c r="E644" s="4" t="str">
        <f t="shared" si="56"/>
        <v xml:space="preserve"> </v>
      </c>
      <c r="F644" s="3">
        <f t="shared" si="57"/>
        <v>9</v>
      </c>
      <c r="G644" s="3">
        <f t="shared" si="58"/>
        <v>2026</v>
      </c>
      <c r="H644" s="6" t="str">
        <f>IF(A644&lt;&gt;" ",G644&amp;"-"&amp;F644&amp;"-"&amp;COUNTIFS($G$2:G644,G644,$F$2:F644,F644)," ")</f>
        <v>2026-9-4</v>
      </c>
    </row>
    <row r="645" spans="1:8" x14ac:dyDescent="0.25">
      <c r="A645" s="11">
        <v>46270</v>
      </c>
      <c r="B645" s="3" t="str">
        <f t="shared" si="55"/>
        <v>sábado</v>
      </c>
      <c r="C645" s="13"/>
      <c r="D645" s="16"/>
      <c r="E645" s="4" t="str">
        <f t="shared" si="56"/>
        <v xml:space="preserve"> </v>
      </c>
      <c r="F645" s="3">
        <f t="shared" si="57"/>
        <v>9</v>
      </c>
      <c r="G645" s="3">
        <f t="shared" si="58"/>
        <v>2026</v>
      </c>
      <c r="H645" s="6" t="str">
        <f>IF(A645&lt;&gt;" ",G645&amp;"-"&amp;F645&amp;"-"&amp;COUNTIFS($G$2:G645,G645,$F$2:F645,F645)," ")</f>
        <v>2026-9-5</v>
      </c>
    </row>
    <row r="646" spans="1:8" x14ac:dyDescent="0.25">
      <c r="A646" s="11">
        <v>46271</v>
      </c>
      <c r="B646" s="3" t="str">
        <f t="shared" si="55"/>
        <v>domingo</v>
      </c>
      <c r="C646" s="13"/>
      <c r="D646" s="16"/>
      <c r="E646" s="4" t="str">
        <f t="shared" si="56"/>
        <v xml:space="preserve"> </v>
      </c>
      <c r="F646" s="3">
        <f t="shared" si="57"/>
        <v>9</v>
      </c>
      <c r="G646" s="3">
        <f t="shared" si="58"/>
        <v>2026</v>
      </c>
      <c r="H646" s="6" t="str">
        <f>IF(A646&lt;&gt;" ",G646&amp;"-"&amp;F646&amp;"-"&amp;COUNTIFS($G$2:G646,G646,$F$2:F646,F646)," ")</f>
        <v>2026-9-6</v>
      </c>
    </row>
    <row r="647" spans="1:8" x14ac:dyDescent="0.25">
      <c r="A647" s="11">
        <v>46272</v>
      </c>
      <c r="B647" s="3" t="str">
        <f t="shared" si="55"/>
        <v>segunda-feira</v>
      </c>
      <c r="C647" s="13"/>
      <c r="D647" s="16"/>
      <c r="E647" s="4" t="str">
        <f t="shared" si="56"/>
        <v xml:space="preserve"> </v>
      </c>
      <c r="F647" s="3">
        <f t="shared" si="57"/>
        <v>9</v>
      </c>
      <c r="G647" s="3">
        <f t="shared" si="58"/>
        <v>2026</v>
      </c>
      <c r="H647" s="6" t="str">
        <f>IF(A647&lt;&gt;" ",G647&amp;"-"&amp;F647&amp;"-"&amp;COUNTIFS($G$2:G647,G647,$F$2:F647,F647)," ")</f>
        <v>2026-9-7</v>
      </c>
    </row>
    <row r="648" spans="1:8" x14ac:dyDescent="0.25">
      <c r="A648" s="11">
        <v>46273</v>
      </c>
      <c r="B648" s="3" t="str">
        <f t="shared" si="55"/>
        <v>terça-feira</v>
      </c>
      <c r="C648" s="13"/>
      <c r="D648" s="16"/>
      <c r="E648" s="4" t="str">
        <f t="shared" si="56"/>
        <v xml:space="preserve"> </v>
      </c>
      <c r="F648" s="3">
        <f t="shared" si="57"/>
        <v>9</v>
      </c>
      <c r="G648" s="3">
        <f t="shared" si="58"/>
        <v>2026</v>
      </c>
      <c r="H648" s="6" t="str">
        <f>IF(A648&lt;&gt;" ",G648&amp;"-"&amp;F648&amp;"-"&amp;COUNTIFS($G$2:G648,G648,$F$2:F648,F648)," ")</f>
        <v>2026-9-8</v>
      </c>
    </row>
    <row r="649" spans="1:8" x14ac:dyDescent="0.25">
      <c r="A649" s="11">
        <v>46274</v>
      </c>
      <c r="B649" s="3" t="str">
        <f t="shared" si="55"/>
        <v>quarta-feira</v>
      </c>
      <c r="C649" s="13"/>
      <c r="D649" s="16"/>
      <c r="E649" s="4" t="str">
        <f t="shared" si="56"/>
        <v xml:space="preserve"> </v>
      </c>
      <c r="F649" s="3">
        <f t="shared" si="57"/>
        <v>9</v>
      </c>
      <c r="G649" s="3">
        <f t="shared" si="58"/>
        <v>2026</v>
      </c>
      <c r="H649" s="6" t="str">
        <f>IF(A649&lt;&gt;" ",G649&amp;"-"&amp;F649&amp;"-"&amp;COUNTIFS($G$2:G649,G649,$F$2:F649,F649)," ")</f>
        <v>2026-9-9</v>
      </c>
    </row>
    <row r="650" spans="1:8" x14ac:dyDescent="0.25">
      <c r="A650" s="11">
        <v>46275</v>
      </c>
      <c r="B650" s="3" t="str">
        <f t="shared" si="55"/>
        <v>quinta-feira</v>
      </c>
      <c r="C650" s="13"/>
      <c r="D650" s="16"/>
      <c r="E650" s="4" t="str">
        <f t="shared" si="56"/>
        <v xml:space="preserve"> </v>
      </c>
      <c r="F650" s="3">
        <f t="shared" si="57"/>
        <v>9</v>
      </c>
      <c r="G650" s="3">
        <f t="shared" si="58"/>
        <v>2026</v>
      </c>
      <c r="H650" s="6" t="str">
        <f>IF(A650&lt;&gt;" ",G650&amp;"-"&amp;F650&amp;"-"&amp;COUNTIFS($G$2:G650,G650,$F$2:F650,F650)," ")</f>
        <v>2026-9-10</v>
      </c>
    </row>
    <row r="651" spans="1:8" x14ac:dyDescent="0.25">
      <c r="A651" s="11">
        <v>46276</v>
      </c>
      <c r="B651" s="3" t="str">
        <f t="shared" si="55"/>
        <v>sexta-feira</v>
      </c>
      <c r="C651" s="13"/>
      <c r="D651" s="16"/>
      <c r="E651" s="4" t="str">
        <f t="shared" si="56"/>
        <v xml:space="preserve"> </v>
      </c>
      <c r="F651" s="3">
        <f t="shared" si="57"/>
        <v>9</v>
      </c>
      <c r="G651" s="3">
        <f t="shared" si="58"/>
        <v>2026</v>
      </c>
      <c r="H651" s="6" t="str">
        <f>IF(A651&lt;&gt;" ",G651&amp;"-"&amp;F651&amp;"-"&amp;COUNTIFS($G$2:G651,G651,$F$2:F651,F651)," ")</f>
        <v>2026-9-11</v>
      </c>
    </row>
    <row r="652" spans="1:8" x14ac:dyDescent="0.25">
      <c r="A652" s="11">
        <v>46277</v>
      </c>
      <c r="B652" s="3" t="str">
        <f t="shared" si="55"/>
        <v>sábado</v>
      </c>
      <c r="C652" s="13"/>
      <c r="D652" s="16"/>
      <c r="E652" s="4" t="str">
        <f t="shared" si="56"/>
        <v xml:space="preserve"> </v>
      </c>
      <c r="F652" s="3">
        <f t="shared" si="57"/>
        <v>9</v>
      </c>
      <c r="G652" s="3">
        <f t="shared" si="58"/>
        <v>2026</v>
      </c>
      <c r="H652" s="6" t="str">
        <f>IF(A652&lt;&gt;" ",G652&amp;"-"&amp;F652&amp;"-"&amp;COUNTIFS($G$2:G652,G652,$F$2:F652,F652)," ")</f>
        <v>2026-9-12</v>
      </c>
    </row>
    <row r="653" spans="1:8" x14ac:dyDescent="0.25">
      <c r="A653" s="11">
        <v>46278</v>
      </c>
      <c r="B653" s="3" t="str">
        <f t="shared" si="55"/>
        <v>domingo</v>
      </c>
      <c r="C653" s="13"/>
      <c r="D653" s="16"/>
      <c r="E653" s="4" t="str">
        <f t="shared" si="56"/>
        <v xml:space="preserve"> </v>
      </c>
      <c r="F653" s="3">
        <f t="shared" si="57"/>
        <v>9</v>
      </c>
      <c r="G653" s="3">
        <f t="shared" si="58"/>
        <v>2026</v>
      </c>
      <c r="H653" s="6" t="str">
        <f>IF(A653&lt;&gt;" ",G653&amp;"-"&amp;F653&amp;"-"&amp;COUNTIFS($G$2:G653,G653,$F$2:F653,F653)," ")</f>
        <v>2026-9-13</v>
      </c>
    </row>
    <row r="654" spans="1:8" x14ac:dyDescent="0.25">
      <c r="A654" s="11">
        <v>46279</v>
      </c>
      <c r="B654" s="3" t="str">
        <f t="shared" si="55"/>
        <v>segunda-feira</v>
      </c>
      <c r="C654" s="13"/>
      <c r="D654" s="16"/>
      <c r="E654" s="4" t="str">
        <f t="shared" si="56"/>
        <v xml:space="preserve"> </v>
      </c>
      <c r="F654" s="3">
        <f t="shared" si="57"/>
        <v>9</v>
      </c>
      <c r="G654" s="3">
        <f t="shared" si="58"/>
        <v>2026</v>
      </c>
      <c r="H654" s="6" t="str">
        <f>IF(A654&lt;&gt;" ",G654&amp;"-"&amp;F654&amp;"-"&amp;COUNTIFS($G$2:G654,G654,$F$2:F654,F654)," ")</f>
        <v>2026-9-14</v>
      </c>
    </row>
    <row r="655" spans="1:8" x14ac:dyDescent="0.25">
      <c r="A655" s="11">
        <v>46280</v>
      </c>
      <c r="B655" s="3" t="str">
        <f t="shared" si="55"/>
        <v>terça-feira</v>
      </c>
      <c r="C655" s="13"/>
      <c r="D655" s="16"/>
      <c r="E655" s="4" t="str">
        <f t="shared" si="56"/>
        <v xml:space="preserve"> </v>
      </c>
      <c r="F655" s="3">
        <f t="shared" si="57"/>
        <v>9</v>
      </c>
      <c r="G655" s="3">
        <f t="shared" si="58"/>
        <v>2026</v>
      </c>
      <c r="H655" s="6" t="str">
        <f>IF(A655&lt;&gt;" ",G655&amp;"-"&amp;F655&amp;"-"&amp;COUNTIFS($G$2:G655,G655,$F$2:F655,F655)," ")</f>
        <v>2026-9-15</v>
      </c>
    </row>
    <row r="656" spans="1:8" x14ac:dyDescent="0.25">
      <c r="A656" s="11">
        <v>46281</v>
      </c>
      <c r="B656" s="3" t="str">
        <f t="shared" si="55"/>
        <v>quarta-feira</v>
      </c>
      <c r="C656" s="13"/>
      <c r="D656" s="16"/>
      <c r="E656" s="4" t="str">
        <f t="shared" si="56"/>
        <v xml:space="preserve"> </v>
      </c>
      <c r="F656" s="3">
        <f t="shared" si="57"/>
        <v>9</v>
      </c>
      <c r="G656" s="3">
        <f t="shared" si="58"/>
        <v>2026</v>
      </c>
      <c r="H656" s="6" t="str">
        <f>IF(A656&lt;&gt;" ",G656&amp;"-"&amp;F656&amp;"-"&amp;COUNTIFS($G$2:G656,G656,$F$2:F656,F656)," ")</f>
        <v>2026-9-16</v>
      </c>
    </row>
    <row r="657" spans="1:8" x14ac:dyDescent="0.25">
      <c r="A657" s="11">
        <v>46282</v>
      </c>
      <c r="B657" s="3" t="str">
        <f t="shared" si="55"/>
        <v>quinta-feira</v>
      </c>
      <c r="C657" s="13"/>
      <c r="D657" s="16"/>
      <c r="E657" s="4" t="str">
        <f t="shared" si="56"/>
        <v xml:space="preserve"> </v>
      </c>
      <c r="F657" s="3">
        <f t="shared" si="57"/>
        <v>9</v>
      </c>
      <c r="G657" s="3">
        <f t="shared" si="58"/>
        <v>2026</v>
      </c>
      <c r="H657" s="6" t="str">
        <f>IF(A657&lt;&gt;" ",G657&amp;"-"&amp;F657&amp;"-"&amp;COUNTIFS($G$2:G657,G657,$F$2:F657,F657)," ")</f>
        <v>2026-9-17</v>
      </c>
    </row>
    <row r="658" spans="1:8" x14ac:dyDescent="0.25">
      <c r="A658" s="11">
        <v>46283</v>
      </c>
      <c r="B658" s="3" t="str">
        <f t="shared" si="55"/>
        <v>sexta-feira</v>
      </c>
      <c r="C658" s="13"/>
      <c r="D658" s="16"/>
      <c r="E658" s="4" t="str">
        <f t="shared" si="56"/>
        <v xml:space="preserve"> </v>
      </c>
      <c r="F658" s="3">
        <f t="shared" si="57"/>
        <v>9</v>
      </c>
      <c r="G658" s="3">
        <f t="shared" si="58"/>
        <v>2026</v>
      </c>
      <c r="H658" s="6" t="str">
        <f>IF(A658&lt;&gt;" ",G658&amp;"-"&amp;F658&amp;"-"&amp;COUNTIFS($G$2:G658,G658,$F$2:F658,F658)," ")</f>
        <v>2026-9-18</v>
      </c>
    </row>
    <row r="659" spans="1:8" x14ac:dyDescent="0.25">
      <c r="A659" s="11">
        <v>46284</v>
      </c>
      <c r="B659" s="3" t="str">
        <f t="shared" si="55"/>
        <v>sábado</v>
      </c>
      <c r="C659" s="13"/>
      <c r="D659" s="16"/>
      <c r="E659" s="4" t="str">
        <f t="shared" si="56"/>
        <v xml:space="preserve"> </v>
      </c>
      <c r="F659" s="3">
        <f t="shared" si="57"/>
        <v>9</v>
      </c>
      <c r="G659" s="3">
        <f t="shared" si="58"/>
        <v>2026</v>
      </c>
      <c r="H659" s="6" t="str">
        <f>IF(A659&lt;&gt;" ",G659&amp;"-"&amp;F659&amp;"-"&amp;COUNTIFS($G$2:G659,G659,$F$2:F659,F659)," ")</f>
        <v>2026-9-19</v>
      </c>
    </row>
    <row r="660" spans="1:8" x14ac:dyDescent="0.25">
      <c r="A660" s="11">
        <v>46285</v>
      </c>
      <c r="B660" s="3" t="str">
        <f t="shared" si="55"/>
        <v>domingo</v>
      </c>
      <c r="C660" s="13"/>
      <c r="D660" s="16"/>
      <c r="E660" s="4" t="str">
        <f t="shared" si="56"/>
        <v xml:space="preserve"> </v>
      </c>
      <c r="F660" s="3">
        <f t="shared" si="57"/>
        <v>9</v>
      </c>
      <c r="G660" s="3">
        <f t="shared" si="58"/>
        <v>2026</v>
      </c>
      <c r="H660" s="6" t="str">
        <f>IF(A660&lt;&gt;" ",G660&amp;"-"&amp;F660&amp;"-"&amp;COUNTIFS($G$2:G660,G660,$F$2:F660,F660)," ")</f>
        <v>2026-9-20</v>
      </c>
    </row>
    <row r="661" spans="1:8" x14ac:dyDescent="0.25">
      <c r="A661" s="11">
        <v>46286</v>
      </c>
      <c r="B661" s="3" t="str">
        <f t="shared" si="55"/>
        <v>segunda-feira</v>
      </c>
      <c r="C661" s="13"/>
      <c r="D661" s="16"/>
      <c r="E661" s="4" t="str">
        <f t="shared" si="56"/>
        <v xml:space="preserve"> </v>
      </c>
      <c r="F661" s="3">
        <f t="shared" si="57"/>
        <v>9</v>
      </c>
      <c r="G661" s="3">
        <f t="shared" si="58"/>
        <v>2026</v>
      </c>
      <c r="H661" s="6" t="str">
        <f>IF(A661&lt;&gt;" ",G661&amp;"-"&amp;F661&amp;"-"&amp;COUNTIFS($G$2:G661,G661,$F$2:F661,F661)," ")</f>
        <v>2026-9-21</v>
      </c>
    </row>
    <row r="662" spans="1:8" x14ac:dyDescent="0.25">
      <c r="A662" s="11">
        <v>46287</v>
      </c>
      <c r="B662" s="3" t="str">
        <f t="shared" si="55"/>
        <v>terça-feira</v>
      </c>
      <c r="C662" s="13"/>
      <c r="D662" s="16"/>
      <c r="E662" s="4" t="str">
        <f t="shared" si="56"/>
        <v xml:space="preserve"> </v>
      </c>
      <c r="F662" s="3">
        <f t="shared" si="57"/>
        <v>9</v>
      </c>
      <c r="G662" s="3">
        <f t="shared" si="58"/>
        <v>2026</v>
      </c>
      <c r="H662" s="6" t="str">
        <f>IF(A662&lt;&gt;" ",G662&amp;"-"&amp;F662&amp;"-"&amp;COUNTIFS($G$2:G662,G662,$F$2:F662,F662)," ")</f>
        <v>2026-9-22</v>
      </c>
    </row>
    <row r="663" spans="1:8" x14ac:dyDescent="0.25">
      <c r="A663" s="11">
        <v>46288</v>
      </c>
      <c r="B663" s="3" t="str">
        <f t="shared" si="55"/>
        <v>quarta-feira</v>
      </c>
      <c r="C663" s="13"/>
      <c r="D663" s="16"/>
      <c r="E663" s="4" t="str">
        <f t="shared" si="56"/>
        <v xml:space="preserve"> </v>
      </c>
      <c r="F663" s="3">
        <f t="shared" si="57"/>
        <v>9</v>
      </c>
      <c r="G663" s="3">
        <f t="shared" si="58"/>
        <v>2026</v>
      </c>
      <c r="H663" s="6" t="str">
        <f>IF(A663&lt;&gt;" ",G663&amp;"-"&amp;F663&amp;"-"&amp;COUNTIFS($G$2:G663,G663,$F$2:F663,F663)," ")</f>
        <v>2026-9-23</v>
      </c>
    </row>
    <row r="664" spans="1:8" x14ac:dyDescent="0.25">
      <c r="A664" s="11">
        <v>46289</v>
      </c>
      <c r="B664" s="3" t="str">
        <f t="shared" si="55"/>
        <v>quinta-feira</v>
      </c>
      <c r="C664" s="13"/>
      <c r="D664" s="16"/>
      <c r="E664" s="4" t="str">
        <f t="shared" si="56"/>
        <v xml:space="preserve"> </v>
      </c>
      <c r="F664" s="3">
        <f t="shared" si="57"/>
        <v>9</v>
      </c>
      <c r="G664" s="3">
        <f t="shared" si="58"/>
        <v>2026</v>
      </c>
      <c r="H664" s="6" t="str">
        <f>IF(A664&lt;&gt;" ",G664&amp;"-"&amp;F664&amp;"-"&amp;COUNTIFS($G$2:G664,G664,$F$2:F664,F664)," ")</f>
        <v>2026-9-24</v>
      </c>
    </row>
    <row r="665" spans="1:8" x14ac:dyDescent="0.25">
      <c r="A665" s="11">
        <v>46290</v>
      </c>
      <c r="B665" s="3" t="str">
        <f t="shared" ref="B665:B728" si="59">IF(A665&lt;&gt;" ",TEXT(A665,"dddd")," ")</f>
        <v>sexta-feira</v>
      </c>
      <c r="C665" s="13"/>
      <c r="D665" s="16"/>
      <c r="E665" s="4" t="str">
        <f t="shared" ref="E665:E728" si="60">IF(D665&gt;0,C665/D665," ")</f>
        <v xml:space="preserve"> </v>
      </c>
      <c r="F665" s="3">
        <f t="shared" ref="F665:F728" si="61">IF(A665&lt;&gt;" ",MONTH(A665)," ")</f>
        <v>9</v>
      </c>
      <c r="G665" s="3">
        <f t="shared" ref="G665:G728" si="62">IF(A665&lt;&gt;" ",YEAR(A665)," ")</f>
        <v>2026</v>
      </c>
      <c r="H665" s="6" t="str">
        <f>IF(A665&lt;&gt;" ",G665&amp;"-"&amp;F665&amp;"-"&amp;COUNTIFS($G$2:G665,G665,$F$2:F665,F665)," ")</f>
        <v>2026-9-25</v>
      </c>
    </row>
    <row r="666" spans="1:8" x14ac:dyDescent="0.25">
      <c r="A666" s="11">
        <v>46291</v>
      </c>
      <c r="B666" s="3" t="str">
        <f t="shared" si="59"/>
        <v>sábado</v>
      </c>
      <c r="C666" s="13"/>
      <c r="D666" s="16"/>
      <c r="E666" s="4" t="str">
        <f t="shared" si="60"/>
        <v xml:space="preserve"> </v>
      </c>
      <c r="F666" s="3">
        <f t="shared" si="61"/>
        <v>9</v>
      </c>
      <c r="G666" s="3">
        <f t="shared" si="62"/>
        <v>2026</v>
      </c>
      <c r="H666" s="6" t="str">
        <f>IF(A666&lt;&gt;" ",G666&amp;"-"&amp;F666&amp;"-"&amp;COUNTIFS($G$2:G666,G666,$F$2:F666,F666)," ")</f>
        <v>2026-9-26</v>
      </c>
    </row>
    <row r="667" spans="1:8" x14ac:dyDescent="0.25">
      <c r="A667" s="11">
        <v>46292</v>
      </c>
      <c r="B667" s="3" t="str">
        <f t="shared" si="59"/>
        <v>domingo</v>
      </c>
      <c r="C667" s="13"/>
      <c r="D667" s="16"/>
      <c r="E667" s="4" t="str">
        <f t="shared" si="60"/>
        <v xml:space="preserve"> </v>
      </c>
      <c r="F667" s="3">
        <f t="shared" si="61"/>
        <v>9</v>
      </c>
      <c r="G667" s="3">
        <f t="shared" si="62"/>
        <v>2026</v>
      </c>
      <c r="H667" s="6" t="str">
        <f>IF(A667&lt;&gt;" ",G667&amp;"-"&amp;F667&amp;"-"&amp;COUNTIFS($G$2:G667,G667,$F$2:F667,F667)," ")</f>
        <v>2026-9-27</v>
      </c>
    </row>
    <row r="668" spans="1:8" x14ac:dyDescent="0.25">
      <c r="A668" s="11">
        <v>46293</v>
      </c>
      <c r="B668" s="3" t="str">
        <f t="shared" si="59"/>
        <v>segunda-feira</v>
      </c>
      <c r="C668" s="13"/>
      <c r="D668" s="16"/>
      <c r="E668" s="4" t="str">
        <f t="shared" si="60"/>
        <v xml:space="preserve"> </v>
      </c>
      <c r="F668" s="3">
        <f t="shared" si="61"/>
        <v>9</v>
      </c>
      <c r="G668" s="3">
        <f t="shared" si="62"/>
        <v>2026</v>
      </c>
      <c r="H668" s="6" t="str">
        <f>IF(A668&lt;&gt;" ",G668&amp;"-"&amp;F668&amp;"-"&amp;COUNTIFS($G$2:G668,G668,$F$2:F668,F668)," ")</f>
        <v>2026-9-28</v>
      </c>
    </row>
    <row r="669" spans="1:8" x14ac:dyDescent="0.25">
      <c r="A669" s="11">
        <v>46294</v>
      </c>
      <c r="B669" s="3" t="str">
        <f t="shared" si="59"/>
        <v>terça-feira</v>
      </c>
      <c r="C669" s="13"/>
      <c r="D669" s="16"/>
      <c r="E669" s="4" t="str">
        <f t="shared" si="60"/>
        <v xml:space="preserve"> </v>
      </c>
      <c r="F669" s="3">
        <f t="shared" si="61"/>
        <v>9</v>
      </c>
      <c r="G669" s="3">
        <f t="shared" si="62"/>
        <v>2026</v>
      </c>
      <c r="H669" s="6" t="str">
        <f>IF(A669&lt;&gt;" ",G669&amp;"-"&amp;F669&amp;"-"&amp;COUNTIFS($G$2:G669,G669,$F$2:F669,F669)," ")</f>
        <v>2026-9-29</v>
      </c>
    </row>
    <row r="670" spans="1:8" x14ac:dyDescent="0.25">
      <c r="A670" s="11">
        <v>46295</v>
      </c>
      <c r="B670" s="3" t="str">
        <f t="shared" si="59"/>
        <v>quarta-feira</v>
      </c>
      <c r="C670" s="13"/>
      <c r="D670" s="16"/>
      <c r="E670" s="4" t="str">
        <f t="shared" si="60"/>
        <v xml:space="preserve"> </v>
      </c>
      <c r="F670" s="3">
        <f t="shared" si="61"/>
        <v>9</v>
      </c>
      <c r="G670" s="3">
        <f t="shared" si="62"/>
        <v>2026</v>
      </c>
      <c r="H670" s="6" t="str">
        <f>IF(A670&lt;&gt;" ",G670&amp;"-"&amp;F670&amp;"-"&amp;COUNTIFS($G$2:G670,G670,$F$2:F670,F670)," ")</f>
        <v>2026-9-30</v>
      </c>
    </row>
    <row r="671" spans="1:8" x14ac:dyDescent="0.25">
      <c r="A671" s="11">
        <v>46296</v>
      </c>
      <c r="B671" s="3" t="str">
        <f t="shared" si="59"/>
        <v>quinta-feira</v>
      </c>
      <c r="C671" s="13"/>
      <c r="D671" s="16"/>
      <c r="E671" s="4" t="str">
        <f t="shared" si="60"/>
        <v xml:space="preserve"> </v>
      </c>
      <c r="F671" s="3">
        <f t="shared" si="61"/>
        <v>10</v>
      </c>
      <c r="G671" s="3">
        <f t="shared" si="62"/>
        <v>2026</v>
      </c>
      <c r="H671" s="6" t="str">
        <f>IF(A671&lt;&gt;" ",G671&amp;"-"&amp;F671&amp;"-"&amp;COUNTIFS($G$2:G671,G671,$F$2:F671,F671)," ")</f>
        <v>2026-10-1</v>
      </c>
    </row>
    <row r="672" spans="1:8" x14ac:dyDescent="0.25">
      <c r="A672" s="11">
        <v>46297</v>
      </c>
      <c r="B672" s="3" t="str">
        <f t="shared" si="59"/>
        <v>sexta-feira</v>
      </c>
      <c r="C672" s="13"/>
      <c r="D672" s="16"/>
      <c r="E672" s="4" t="str">
        <f t="shared" si="60"/>
        <v xml:space="preserve"> </v>
      </c>
      <c r="F672" s="3">
        <f t="shared" si="61"/>
        <v>10</v>
      </c>
      <c r="G672" s="3">
        <f t="shared" si="62"/>
        <v>2026</v>
      </c>
      <c r="H672" s="6" t="str">
        <f>IF(A672&lt;&gt;" ",G672&amp;"-"&amp;F672&amp;"-"&amp;COUNTIFS($G$2:G672,G672,$F$2:F672,F672)," ")</f>
        <v>2026-10-2</v>
      </c>
    </row>
    <row r="673" spans="1:8" x14ac:dyDescent="0.25">
      <c r="A673" s="11">
        <v>46298</v>
      </c>
      <c r="B673" s="3" t="str">
        <f t="shared" si="59"/>
        <v>sábado</v>
      </c>
      <c r="C673" s="13"/>
      <c r="D673" s="16"/>
      <c r="E673" s="4" t="str">
        <f t="shared" si="60"/>
        <v xml:space="preserve"> </v>
      </c>
      <c r="F673" s="3">
        <f t="shared" si="61"/>
        <v>10</v>
      </c>
      <c r="G673" s="3">
        <f t="shared" si="62"/>
        <v>2026</v>
      </c>
      <c r="H673" s="6" t="str">
        <f>IF(A673&lt;&gt;" ",G673&amp;"-"&amp;F673&amp;"-"&amp;COUNTIFS($G$2:G673,G673,$F$2:F673,F673)," ")</f>
        <v>2026-10-3</v>
      </c>
    </row>
    <row r="674" spans="1:8" x14ac:dyDescent="0.25">
      <c r="A674" s="11">
        <v>46299</v>
      </c>
      <c r="B674" s="3" t="str">
        <f t="shared" si="59"/>
        <v>domingo</v>
      </c>
      <c r="C674" s="13"/>
      <c r="D674" s="16"/>
      <c r="E674" s="4" t="str">
        <f t="shared" si="60"/>
        <v xml:space="preserve"> </v>
      </c>
      <c r="F674" s="3">
        <f t="shared" si="61"/>
        <v>10</v>
      </c>
      <c r="G674" s="3">
        <f t="shared" si="62"/>
        <v>2026</v>
      </c>
      <c r="H674" s="6" t="str">
        <f>IF(A674&lt;&gt;" ",G674&amp;"-"&amp;F674&amp;"-"&amp;COUNTIFS($G$2:G674,G674,$F$2:F674,F674)," ")</f>
        <v>2026-10-4</v>
      </c>
    </row>
    <row r="675" spans="1:8" x14ac:dyDescent="0.25">
      <c r="A675" s="11">
        <v>46300</v>
      </c>
      <c r="B675" s="3" t="str">
        <f t="shared" si="59"/>
        <v>segunda-feira</v>
      </c>
      <c r="C675" s="13"/>
      <c r="D675" s="16"/>
      <c r="E675" s="4" t="str">
        <f t="shared" si="60"/>
        <v xml:space="preserve"> </v>
      </c>
      <c r="F675" s="3">
        <f t="shared" si="61"/>
        <v>10</v>
      </c>
      <c r="G675" s="3">
        <f t="shared" si="62"/>
        <v>2026</v>
      </c>
      <c r="H675" s="6" t="str">
        <f>IF(A675&lt;&gt;" ",G675&amp;"-"&amp;F675&amp;"-"&amp;COUNTIFS($G$2:G675,G675,$F$2:F675,F675)," ")</f>
        <v>2026-10-5</v>
      </c>
    </row>
    <row r="676" spans="1:8" x14ac:dyDescent="0.25">
      <c r="A676" s="11">
        <v>46301</v>
      </c>
      <c r="B676" s="3" t="str">
        <f t="shared" si="59"/>
        <v>terça-feira</v>
      </c>
      <c r="C676" s="13"/>
      <c r="D676" s="16"/>
      <c r="E676" s="4" t="str">
        <f t="shared" si="60"/>
        <v xml:space="preserve"> </v>
      </c>
      <c r="F676" s="3">
        <f t="shared" si="61"/>
        <v>10</v>
      </c>
      <c r="G676" s="3">
        <f t="shared" si="62"/>
        <v>2026</v>
      </c>
      <c r="H676" s="6" t="str">
        <f>IF(A676&lt;&gt;" ",G676&amp;"-"&amp;F676&amp;"-"&amp;COUNTIFS($G$2:G676,G676,$F$2:F676,F676)," ")</f>
        <v>2026-10-6</v>
      </c>
    </row>
    <row r="677" spans="1:8" x14ac:dyDescent="0.25">
      <c r="A677" s="11">
        <v>46302</v>
      </c>
      <c r="B677" s="3" t="str">
        <f t="shared" si="59"/>
        <v>quarta-feira</v>
      </c>
      <c r="C677" s="13"/>
      <c r="D677" s="16"/>
      <c r="E677" s="4" t="str">
        <f t="shared" si="60"/>
        <v xml:space="preserve"> </v>
      </c>
      <c r="F677" s="3">
        <f t="shared" si="61"/>
        <v>10</v>
      </c>
      <c r="G677" s="3">
        <f t="shared" si="62"/>
        <v>2026</v>
      </c>
      <c r="H677" s="6" t="str">
        <f>IF(A677&lt;&gt;" ",G677&amp;"-"&amp;F677&amp;"-"&amp;COUNTIFS($G$2:G677,G677,$F$2:F677,F677)," ")</f>
        <v>2026-10-7</v>
      </c>
    </row>
    <row r="678" spans="1:8" x14ac:dyDescent="0.25">
      <c r="A678" s="11">
        <v>46303</v>
      </c>
      <c r="B678" s="3" t="str">
        <f t="shared" si="59"/>
        <v>quinta-feira</v>
      </c>
      <c r="C678" s="13"/>
      <c r="D678" s="16"/>
      <c r="E678" s="4" t="str">
        <f t="shared" si="60"/>
        <v xml:space="preserve"> </v>
      </c>
      <c r="F678" s="3">
        <f t="shared" si="61"/>
        <v>10</v>
      </c>
      <c r="G678" s="3">
        <f t="shared" si="62"/>
        <v>2026</v>
      </c>
      <c r="H678" s="6" t="str">
        <f>IF(A678&lt;&gt;" ",G678&amp;"-"&amp;F678&amp;"-"&amp;COUNTIFS($G$2:G678,G678,$F$2:F678,F678)," ")</f>
        <v>2026-10-8</v>
      </c>
    </row>
    <row r="679" spans="1:8" x14ac:dyDescent="0.25">
      <c r="A679" s="11">
        <v>46304</v>
      </c>
      <c r="B679" s="3" t="str">
        <f t="shared" si="59"/>
        <v>sexta-feira</v>
      </c>
      <c r="C679" s="13"/>
      <c r="D679" s="16"/>
      <c r="E679" s="4" t="str">
        <f t="shared" si="60"/>
        <v xml:space="preserve"> </v>
      </c>
      <c r="F679" s="3">
        <f t="shared" si="61"/>
        <v>10</v>
      </c>
      <c r="G679" s="3">
        <f t="shared" si="62"/>
        <v>2026</v>
      </c>
      <c r="H679" s="6" t="str">
        <f>IF(A679&lt;&gt;" ",G679&amp;"-"&amp;F679&amp;"-"&amp;COUNTIFS($G$2:G679,G679,$F$2:F679,F679)," ")</f>
        <v>2026-10-9</v>
      </c>
    </row>
    <row r="680" spans="1:8" x14ac:dyDescent="0.25">
      <c r="A680" s="11">
        <v>46305</v>
      </c>
      <c r="B680" s="3" t="str">
        <f t="shared" si="59"/>
        <v>sábado</v>
      </c>
      <c r="C680" s="13"/>
      <c r="D680" s="16"/>
      <c r="E680" s="4" t="str">
        <f t="shared" si="60"/>
        <v xml:space="preserve"> </v>
      </c>
      <c r="F680" s="3">
        <f t="shared" si="61"/>
        <v>10</v>
      </c>
      <c r="G680" s="3">
        <f t="shared" si="62"/>
        <v>2026</v>
      </c>
      <c r="H680" s="6" t="str">
        <f>IF(A680&lt;&gt;" ",G680&amp;"-"&amp;F680&amp;"-"&amp;COUNTIFS($G$2:G680,G680,$F$2:F680,F680)," ")</f>
        <v>2026-10-10</v>
      </c>
    </row>
    <row r="681" spans="1:8" x14ac:dyDescent="0.25">
      <c r="A681" s="11">
        <v>46306</v>
      </c>
      <c r="B681" s="3" t="str">
        <f t="shared" si="59"/>
        <v>domingo</v>
      </c>
      <c r="C681" s="13"/>
      <c r="D681" s="16"/>
      <c r="E681" s="4" t="str">
        <f t="shared" si="60"/>
        <v xml:space="preserve"> </v>
      </c>
      <c r="F681" s="3">
        <f t="shared" si="61"/>
        <v>10</v>
      </c>
      <c r="G681" s="3">
        <f t="shared" si="62"/>
        <v>2026</v>
      </c>
      <c r="H681" s="6" t="str">
        <f>IF(A681&lt;&gt;" ",G681&amp;"-"&amp;F681&amp;"-"&amp;COUNTIFS($G$2:G681,G681,$F$2:F681,F681)," ")</f>
        <v>2026-10-11</v>
      </c>
    </row>
    <row r="682" spans="1:8" x14ac:dyDescent="0.25">
      <c r="A682" s="11">
        <v>46307</v>
      </c>
      <c r="B682" s="3" t="str">
        <f t="shared" si="59"/>
        <v>segunda-feira</v>
      </c>
      <c r="C682" s="13"/>
      <c r="D682" s="16"/>
      <c r="E682" s="4" t="str">
        <f t="shared" si="60"/>
        <v xml:space="preserve"> </v>
      </c>
      <c r="F682" s="3">
        <f t="shared" si="61"/>
        <v>10</v>
      </c>
      <c r="G682" s="3">
        <f t="shared" si="62"/>
        <v>2026</v>
      </c>
      <c r="H682" s="6" t="str">
        <f>IF(A682&lt;&gt;" ",G682&amp;"-"&amp;F682&amp;"-"&amp;COUNTIFS($G$2:G682,G682,$F$2:F682,F682)," ")</f>
        <v>2026-10-12</v>
      </c>
    </row>
    <row r="683" spans="1:8" x14ac:dyDescent="0.25">
      <c r="A683" s="11">
        <v>46308</v>
      </c>
      <c r="B683" s="3" t="str">
        <f t="shared" si="59"/>
        <v>terça-feira</v>
      </c>
      <c r="C683" s="13"/>
      <c r="D683" s="16"/>
      <c r="E683" s="4" t="str">
        <f t="shared" si="60"/>
        <v xml:space="preserve"> </v>
      </c>
      <c r="F683" s="3">
        <f t="shared" si="61"/>
        <v>10</v>
      </c>
      <c r="G683" s="3">
        <f t="shared" si="62"/>
        <v>2026</v>
      </c>
      <c r="H683" s="6" t="str">
        <f>IF(A683&lt;&gt;" ",G683&amp;"-"&amp;F683&amp;"-"&amp;COUNTIFS($G$2:G683,G683,$F$2:F683,F683)," ")</f>
        <v>2026-10-13</v>
      </c>
    </row>
    <row r="684" spans="1:8" x14ac:dyDescent="0.25">
      <c r="A684" s="11">
        <v>46309</v>
      </c>
      <c r="B684" s="3" t="str">
        <f t="shared" si="59"/>
        <v>quarta-feira</v>
      </c>
      <c r="C684" s="13"/>
      <c r="D684" s="16"/>
      <c r="E684" s="4" t="str">
        <f t="shared" si="60"/>
        <v xml:space="preserve"> </v>
      </c>
      <c r="F684" s="3">
        <f t="shared" si="61"/>
        <v>10</v>
      </c>
      <c r="G684" s="3">
        <f t="shared" si="62"/>
        <v>2026</v>
      </c>
      <c r="H684" s="6" t="str">
        <f>IF(A684&lt;&gt;" ",G684&amp;"-"&amp;F684&amp;"-"&amp;COUNTIFS($G$2:G684,G684,$F$2:F684,F684)," ")</f>
        <v>2026-10-14</v>
      </c>
    </row>
    <row r="685" spans="1:8" x14ac:dyDescent="0.25">
      <c r="A685" s="11">
        <v>46310</v>
      </c>
      <c r="B685" s="3" t="str">
        <f t="shared" si="59"/>
        <v>quinta-feira</v>
      </c>
      <c r="C685" s="13"/>
      <c r="D685" s="16"/>
      <c r="E685" s="4" t="str">
        <f t="shared" si="60"/>
        <v xml:space="preserve"> </v>
      </c>
      <c r="F685" s="3">
        <f t="shared" si="61"/>
        <v>10</v>
      </c>
      <c r="G685" s="3">
        <f t="shared" si="62"/>
        <v>2026</v>
      </c>
      <c r="H685" s="6" t="str">
        <f>IF(A685&lt;&gt;" ",G685&amp;"-"&amp;F685&amp;"-"&amp;COUNTIFS($G$2:G685,G685,$F$2:F685,F685)," ")</f>
        <v>2026-10-15</v>
      </c>
    </row>
    <row r="686" spans="1:8" x14ac:dyDescent="0.25">
      <c r="A686" s="11">
        <v>46311</v>
      </c>
      <c r="B686" s="3" t="str">
        <f t="shared" si="59"/>
        <v>sexta-feira</v>
      </c>
      <c r="C686" s="13"/>
      <c r="D686" s="16"/>
      <c r="E686" s="4" t="str">
        <f t="shared" si="60"/>
        <v xml:space="preserve"> </v>
      </c>
      <c r="F686" s="3">
        <f t="shared" si="61"/>
        <v>10</v>
      </c>
      <c r="G686" s="3">
        <f t="shared" si="62"/>
        <v>2026</v>
      </c>
      <c r="H686" s="6" t="str">
        <f>IF(A686&lt;&gt;" ",G686&amp;"-"&amp;F686&amp;"-"&amp;COUNTIFS($G$2:G686,G686,$F$2:F686,F686)," ")</f>
        <v>2026-10-16</v>
      </c>
    </row>
    <row r="687" spans="1:8" x14ac:dyDescent="0.25">
      <c r="A687" s="11">
        <v>46312</v>
      </c>
      <c r="B687" s="3" t="str">
        <f t="shared" si="59"/>
        <v>sábado</v>
      </c>
      <c r="C687" s="13"/>
      <c r="D687" s="16"/>
      <c r="E687" s="4" t="str">
        <f t="shared" si="60"/>
        <v xml:space="preserve"> </v>
      </c>
      <c r="F687" s="3">
        <f t="shared" si="61"/>
        <v>10</v>
      </c>
      <c r="G687" s="3">
        <f t="shared" si="62"/>
        <v>2026</v>
      </c>
      <c r="H687" s="6" t="str">
        <f>IF(A687&lt;&gt;" ",G687&amp;"-"&amp;F687&amp;"-"&amp;COUNTIFS($G$2:G687,G687,$F$2:F687,F687)," ")</f>
        <v>2026-10-17</v>
      </c>
    </row>
    <row r="688" spans="1:8" x14ac:dyDescent="0.25">
      <c r="A688" s="11">
        <v>46313</v>
      </c>
      <c r="B688" s="3" t="str">
        <f t="shared" si="59"/>
        <v>domingo</v>
      </c>
      <c r="C688" s="13"/>
      <c r="D688" s="16"/>
      <c r="E688" s="4" t="str">
        <f t="shared" si="60"/>
        <v xml:space="preserve"> </v>
      </c>
      <c r="F688" s="3">
        <f t="shared" si="61"/>
        <v>10</v>
      </c>
      <c r="G688" s="3">
        <f t="shared" si="62"/>
        <v>2026</v>
      </c>
      <c r="H688" s="6" t="str">
        <f>IF(A688&lt;&gt;" ",G688&amp;"-"&amp;F688&amp;"-"&amp;COUNTIFS($G$2:G688,G688,$F$2:F688,F688)," ")</f>
        <v>2026-10-18</v>
      </c>
    </row>
    <row r="689" spans="1:8" x14ac:dyDescent="0.25">
      <c r="A689" s="11">
        <v>46314</v>
      </c>
      <c r="B689" s="3" t="str">
        <f t="shared" si="59"/>
        <v>segunda-feira</v>
      </c>
      <c r="C689" s="13"/>
      <c r="D689" s="16"/>
      <c r="E689" s="4" t="str">
        <f t="shared" si="60"/>
        <v xml:space="preserve"> </v>
      </c>
      <c r="F689" s="3">
        <f t="shared" si="61"/>
        <v>10</v>
      </c>
      <c r="G689" s="3">
        <f t="shared" si="62"/>
        <v>2026</v>
      </c>
      <c r="H689" s="6" t="str">
        <f>IF(A689&lt;&gt;" ",G689&amp;"-"&amp;F689&amp;"-"&amp;COUNTIFS($G$2:G689,G689,$F$2:F689,F689)," ")</f>
        <v>2026-10-19</v>
      </c>
    </row>
    <row r="690" spans="1:8" x14ac:dyDescent="0.25">
      <c r="A690" s="11">
        <v>46315</v>
      </c>
      <c r="B690" s="3" t="str">
        <f t="shared" si="59"/>
        <v>terça-feira</v>
      </c>
      <c r="C690" s="13"/>
      <c r="D690" s="16"/>
      <c r="E690" s="4" t="str">
        <f t="shared" si="60"/>
        <v xml:space="preserve"> </v>
      </c>
      <c r="F690" s="3">
        <f t="shared" si="61"/>
        <v>10</v>
      </c>
      <c r="G690" s="3">
        <f t="shared" si="62"/>
        <v>2026</v>
      </c>
      <c r="H690" s="6" t="str">
        <f>IF(A690&lt;&gt;" ",G690&amp;"-"&amp;F690&amp;"-"&amp;COUNTIFS($G$2:G690,G690,$F$2:F690,F690)," ")</f>
        <v>2026-10-20</v>
      </c>
    </row>
    <row r="691" spans="1:8" x14ac:dyDescent="0.25">
      <c r="A691" s="11">
        <v>46316</v>
      </c>
      <c r="B691" s="3" t="str">
        <f t="shared" si="59"/>
        <v>quarta-feira</v>
      </c>
      <c r="C691" s="13"/>
      <c r="D691" s="16"/>
      <c r="E691" s="4" t="str">
        <f t="shared" si="60"/>
        <v xml:space="preserve"> </v>
      </c>
      <c r="F691" s="3">
        <f t="shared" si="61"/>
        <v>10</v>
      </c>
      <c r="G691" s="3">
        <f t="shared" si="62"/>
        <v>2026</v>
      </c>
      <c r="H691" s="6" t="str">
        <f>IF(A691&lt;&gt;" ",G691&amp;"-"&amp;F691&amp;"-"&amp;COUNTIFS($G$2:G691,G691,$F$2:F691,F691)," ")</f>
        <v>2026-10-21</v>
      </c>
    </row>
    <row r="692" spans="1:8" x14ac:dyDescent="0.25">
      <c r="A692" s="11">
        <v>46317</v>
      </c>
      <c r="B692" s="3" t="str">
        <f t="shared" si="59"/>
        <v>quinta-feira</v>
      </c>
      <c r="C692" s="13"/>
      <c r="D692" s="16"/>
      <c r="E692" s="4" t="str">
        <f t="shared" si="60"/>
        <v xml:space="preserve"> </v>
      </c>
      <c r="F692" s="3">
        <f t="shared" si="61"/>
        <v>10</v>
      </c>
      <c r="G692" s="3">
        <f t="shared" si="62"/>
        <v>2026</v>
      </c>
      <c r="H692" s="6" t="str">
        <f>IF(A692&lt;&gt;" ",G692&amp;"-"&amp;F692&amp;"-"&amp;COUNTIFS($G$2:G692,G692,$F$2:F692,F692)," ")</f>
        <v>2026-10-22</v>
      </c>
    </row>
    <row r="693" spans="1:8" x14ac:dyDescent="0.25">
      <c r="A693" s="11">
        <v>46318</v>
      </c>
      <c r="B693" s="3" t="str">
        <f t="shared" si="59"/>
        <v>sexta-feira</v>
      </c>
      <c r="C693" s="13"/>
      <c r="D693" s="16"/>
      <c r="E693" s="4" t="str">
        <f t="shared" si="60"/>
        <v xml:space="preserve"> </v>
      </c>
      <c r="F693" s="3">
        <f t="shared" si="61"/>
        <v>10</v>
      </c>
      <c r="G693" s="3">
        <f t="shared" si="62"/>
        <v>2026</v>
      </c>
      <c r="H693" s="6" t="str">
        <f>IF(A693&lt;&gt;" ",G693&amp;"-"&amp;F693&amp;"-"&amp;COUNTIFS($G$2:G693,G693,$F$2:F693,F693)," ")</f>
        <v>2026-10-23</v>
      </c>
    </row>
    <row r="694" spans="1:8" x14ac:dyDescent="0.25">
      <c r="A694" s="11">
        <v>46319</v>
      </c>
      <c r="B694" s="3" t="str">
        <f t="shared" si="59"/>
        <v>sábado</v>
      </c>
      <c r="C694" s="13"/>
      <c r="D694" s="16"/>
      <c r="E694" s="4" t="str">
        <f t="shared" si="60"/>
        <v xml:space="preserve"> </v>
      </c>
      <c r="F694" s="3">
        <f t="shared" si="61"/>
        <v>10</v>
      </c>
      <c r="G694" s="3">
        <f t="shared" si="62"/>
        <v>2026</v>
      </c>
      <c r="H694" s="6" t="str">
        <f>IF(A694&lt;&gt;" ",G694&amp;"-"&amp;F694&amp;"-"&amp;COUNTIFS($G$2:G694,G694,$F$2:F694,F694)," ")</f>
        <v>2026-10-24</v>
      </c>
    </row>
    <row r="695" spans="1:8" x14ac:dyDescent="0.25">
      <c r="A695" s="11">
        <v>46320</v>
      </c>
      <c r="B695" s="3" t="str">
        <f t="shared" si="59"/>
        <v>domingo</v>
      </c>
      <c r="C695" s="13"/>
      <c r="D695" s="16"/>
      <c r="E695" s="4" t="str">
        <f t="shared" si="60"/>
        <v xml:space="preserve"> </v>
      </c>
      <c r="F695" s="3">
        <f t="shared" si="61"/>
        <v>10</v>
      </c>
      <c r="G695" s="3">
        <f t="shared" si="62"/>
        <v>2026</v>
      </c>
      <c r="H695" s="6" t="str">
        <f>IF(A695&lt;&gt;" ",G695&amp;"-"&amp;F695&amp;"-"&amp;COUNTIFS($G$2:G695,G695,$F$2:F695,F695)," ")</f>
        <v>2026-10-25</v>
      </c>
    </row>
    <row r="696" spans="1:8" x14ac:dyDescent="0.25">
      <c r="A696" s="11">
        <v>46321</v>
      </c>
      <c r="B696" s="3" t="str">
        <f t="shared" si="59"/>
        <v>segunda-feira</v>
      </c>
      <c r="C696" s="13"/>
      <c r="D696" s="16"/>
      <c r="E696" s="4" t="str">
        <f t="shared" si="60"/>
        <v xml:space="preserve"> </v>
      </c>
      <c r="F696" s="3">
        <f t="shared" si="61"/>
        <v>10</v>
      </c>
      <c r="G696" s="3">
        <f t="shared" si="62"/>
        <v>2026</v>
      </c>
      <c r="H696" s="6" t="str">
        <f>IF(A696&lt;&gt;" ",G696&amp;"-"&amp;F696&amp;"-"&amp;COUNTIFS($G$2:G696,G696,$F$2:F696,F696)," ")</f>
        <v>2026-10-26</v>
      </c>
    </row>
    <row r="697" spans="1:8" x14ac:dyDescent="0.25">
      <c r="A697" s="11">
        <v>46322</v>
      </c>
      <c r="B697" s="3" t="str">
        <f t="shared" si="59"/>
        <v>terça-feira</v>
      </c>
      <c r="C697" s="13"/>
      <c r="D697" s="16"/>
      <c r="E697" s="4" t="str">
        <f t="shared" si="60"/>
        <v xml:space="preserve"> </v>
      </c>
      <c r="F697" s="3">
        <f t="shared" si="61"/>
        <v>10</v>
      </c>
      <c r="G697" s="3">
        <f t="shared" si="62"/>
        <v>2026</v>
      </c>
      <c r="H697" s="6" t="str">
        <f>IF(A697&lt;&gt;" ",G697&amp;"-"&amp;F697&amp;"-"&amp;COUNTIFS($G$2:G697,G697,$F$2:F697,F697)," ")</f>
        <v>2026-10-27</v>
      </c>
    </row>
    <row r="698" spans="1:8" x14ac:dyDescent="0.25">
      <c r="A698" s="11">
        <v>46323</v>
      </c>
      <c r="B698" s="3" t="str">
        <f t="shared" si="59"/>
        <v>quarta-feira</v>
      </c>
      <c r="C698" s="13"/>
      <c r="D698" s="16"/>
      <c r="E698" s="4" t="str">
        <f t="shared" si="60"/>
        <v xml:space="preserve"> </v>
      </c>
      <c r="F698" s="3">
        <f t="shared" si="61"/>
        <v>10</v>
      </c>
      <c r="G698" s="3">
        <f t="shared" si="62"/>
        <v>2026</v>
      </c>
      <c r="H698" s="6" t="str">
        <f>IF(A698&lt;&gt;" ",G698&amp;"-"&amp;F698&amp;"-"&amp;COUNTIFS($G$2:G698,G698,$F$2:F698,F698)," ")</f>
        <v>2026-10-28</v>
      </c>
    </row>
    <row r="699" spans="1:8" x14ac:dyDescent="0.25">
      <c r="A699" s="11">
        <v>46324</v>
      </c>
      <c r="B699" s="3" t="str">
        <f t="shared" si="59"/>
        <v>quinta-feira</v>
      </c>
      <c r="C699" s="13"/>
      <c r="D699" s="16"/>
      <c r="E699" s="4" t="str">
        <f t="shared" si="60"/>
        <v xml:space="preserve"> </v>
      </c>
      <c r="F699" s="3">
        <f t="shared" si="61"/>
        <v>10</v>
      </c>
      <c r="G699" s="3">
        <f t="shared" si="62"/>
        <v>2026</v>
      </c>
      <c r="H699" s="6" t="str">
        <f>IF(A699&lt;&gt;" ",G699&amp;"-"&amp;F699&amp;"-"&amp;COUNTIFS($G$2:G699,G699,$F$2:F699,F699)," ")</f>
        <v>2026-10-29</v>
      </c>
    </row>
    <row r="700" spans="1:8" x14ac:dyDescent="0.25">
      <c r="A700" s="11">
        <v>46325</v>
      </c>
      <c r="B700" s="3" t="str">
        <f t="shared" si="59"/>
        <v>sexta-feira</v>
      </c>
      <c r="C700" s="13"/>
      <c r="D700" s="16"/>
      <c r="E700" s="4" t="str">
        <f t="shared" si="60"/>
        <v xml:space="preserve"> </v>
      </c>
      <c r="F700" s="3">
        <f t="shared" si="61"/>
        <v>10</v>
      </c>
      <c r="G700" s="3">
        <f t="shared" si="62"/>
        <v>2026</v>
      </c>
      <c r="H700" s="6" t="str">
        <f>IF(A700&lt;&gt;" ",G700&amp;"-"&amp;F700&amp;"-"&amp;COUNTIFS($G$2:G700,G700,$F$2:F700,F700)," ")</f>
        <v>2026-10-30</v>
      </c>
    </row>
    <row r="701" spans="1:8" x14ac:dyDescent="0.25">
      <c r="A701" s="11">
        <v>46326</v>
      </c>
      <c r="B701" s="3" t="str">
        <f t="shared" si="59"/>
        <v>sábado</v>
      </c>
      <c r="C701" s="13"/>
      <c r="D701" s="16"/>
      <c r="E701" s="4" t="str">
        <f t="shared" si="60"/>
        <v xml:space="preserve"> </v>
      </c>
      <c r="F701" s="3">
        <f t="shared" si="61"/>
        <v>10</v>
      </c>
      <c r="G701" s="3">
        <f t="shared" si="62"/>
        <v>2026</v>
      </c>
      <c r="H701" s="6" t="str">
        <f>IF(A701&lt;&gt;" ",G701&amp;"-"&amp;F701&amp;"-"&amp;COUNTIFS($G$2:G701,G701,$F$2:F701,F701)," ")</f>
        <v>2026-10-31</v>
      </c>
    </row>
    <row r="702" spans="1:8" x14ac:dyDescent="0.25">
      <c r="A702" s="11">
        <v>46327</v>
      </c>
      <c r="B702" s="3" t="str">
        <f t="shared" si="59"/>
        <v>domingo</v>
      </c>
      <c r="C702" s="13"/>
      <c r="D702" s="16"/>
      <c r="E702" s="4" t="str">
        <f t="shared" si="60"/>
        <v xml:space="preserve"> </v>
      </c>
      <c r="F702" s="3">
        <f t="shared" si="61"/>
        <v>11</v>
      </c>
      <c r="G702" s="3">
        <f t="shared" si="62"/>
        <v>2026</v>
      </c>
      <c r="H702" s="6" t="str">
        <f>IF(A702&lt;&gt;" ",G702&amp;"-"&amp;F702&amp;"-"&amp;COUNTIFS($G$2:G702,G702,$F$2:F702,F702)," ")</f>
        <v>2026-11-1</v>
      </c>
    </row>
    <row r="703" spans="1:8" x14ac:dyDescent="0.25">
      <c r="A703" s="11">
        <v>46328</v>
      </c>
      <c r="B703" s="3" t="str">
        <f t="shared" si="59"/>
        <v>segunda-feira</v>
      </c>
      <c r="C703" s="13"/>
      <c r="D703" s="16"/>
      <c r="E703" s="4" t="str">
        <f t="shared" si="60"/>
        <v xml:space="preserve"> </v>
      </c>
      <c r="F703" s="3">
        <f t="shared" si="61"/>
        <v>11</v>
      </c>
      <c r="G703" s="3">
        <f t="shared" si="62"/>
        <v>2026</v>
      </c>
      <c r="H703" s="6" t="str">
        <f>IF(A703&lt;&gt;" ",G703&amp;"-"&amp;F703&amp;"-"&amp;COUNTIFS($G$2:G703,G703,$F$2:F703,F703)," ")</f>
        <v>2026-11-2</v>
      </c>
    </row>
    <row r="704" spans="1:8" x14ac:dyDescent="0.25">
      <c r="A704" s="11">
        <v>46329</v>
      </c>
      <c r="B704" s="3" t="str">
        <f t="shared" si="59"/>
        <v>terça-feira</v>
      </c>
      <c r="C704" s="13"/>
      <c r="D704" s="16"/>
      <c r="E704" s="4" t="str">
        <f t="shared" si="60"/>
        <v xml:space="preserve"> </v>
      </c>
      <c r="F704" s="3">
        <f t="shared" si="61"/>
        <v>11</v>
      </c>
      <c r="G704" s="3">
        <f t="shared" si="62"/>
        <v>2026</v>
      </c>
      <c r="H704" s="6" t="str">
        <f>IF(A704&lt;&gt;" ",G704&amp;"-"&amp;F704&amp;"-"&amp;COUNTIFS($G$2:G704,G704,$F$2:F704,F704)," ")</f>
        <v>2026-11-3</v>
      </c>
    </row>
    <row r="705" spans="1:8" x14ac:dyDescent="0.25">
      <c r="A705" s="11">
        <v>46330</v>
      </c>
      <c r="B705" s="3" t="str">
        <f t="shared" si="59"/>
        <v>quarta-feira</v>
      </c>
      <c r="C705" s="13"/>
      <c r="D705" s="16"/>
      <c r="E705" s="4" t="str">
        <f t="shared" si="60"/>
        <v xml:space="preserve"> </v>
      </c>
      <c r="F705" s="3">
        <f t="shared" si="61"/>
        <v>11</v>
      </c>
      <c r="G705" s="3">
        <f t="shared" si="62"/>
        <v>2026</v>
      </c>
      <c r="H705" s="6" t="str">
        <f>IF(A705&lt;&gt;" ",G705&amp;"-"&amp;F705&amp;"-"&amp;COUNTIFS($G$2:G705,G705,$F$2:F705,F705)," ")</f>
        <v>2026-11-4</v>
      </c>
    </row>
    <row r="706" spans="1:8" x14ac:dyDescent="0.25">
      <c r="A706" s="11">
        <v>46331</v>
      </c>
      <c r="B706" s="3" t="str">
        <f t="shared" si="59"/>
        <v>quinta-feira</v>
      </c>
      <c r="C706" s="13"/>
      <c r="D706" s="16"/>
      <c r="E706" s="4" t="str">
        <f t="shared" si="60"/>
        <v xml:space="preserve"> </v>
      </c>
      <c r="F706" s="3">
        <f t="shared" si="61"/>
        <v>11</v>
      </c>
      <c r="G706" s="3">
        <f t="shared" si="62"/>
        <v>2026</v>
      </c>
      <c r="H706" s="6" t="str">
        <f>IF(A706&lt;&gt;" ",G706&amp;"-"&amp;F706&amp;"-"&amp;COUNTIFS($G$2:G706,G706,$F$2:F706,F706)," ")</f>
        <v>2026-11-5</v>
      </c>
    </row>
    <row r="707" spans="1:8" x14ac:dyDescent="0.25">
      <c r="A707" s="11">
        <v>46332</v>
      </c>
      <c r="B707" s="3" t="str">
        <f t="shared" si="59"/>
        <v>sexta-feira</v>
      </c>
      <c r="C707" s="13"/>
      <c r="D707" s="16"/>
      <c r="E707" s="4" t="str">
        <f t="shared" si="60"/>
        <v xml:space="preserve"> </v>
      </c>
      <c r="F707" s="3">
        <f t="shared" si="61"/>
        <v>11</v>
      </c>
      <c r="G707" s="3">
        <f t="shared" si="62"/>
        <v>2026</v>
      </c>
      <c r="H707" s="6" t="str">
        <f>IF(A707&lt;&gt;" ",G707&amp;"-"&amp;F707&amp;"-"&amp;COUNTIFS($G$2:G707,G707,$F$2:F707,F707)," ")</f>
        <v>2026-11-6</v>
      </c>
    </row>
    <row r="708" spans="1:8" x14ac:dyDescent="0.25">
      <c r="A708" s="11">
        <v>46333</v>
      </c>
      <c r="B708" s="3" t="str">
        <f t="shared" si="59"/>
        <v>sábado</v>
      </c>
      <c r="C708" s="13"/>
      <c r="D708" s="16"/>
      <c r="E708" s="4" t="str">
        <f t="shared" si="60"/>
        <v xml:space="preserve"> </v>
      </c>
      <c r="F708" s="3">
        <f t="shared" si="61"/>
        <v>11</v>
      </c>
      <c r="G708" s="3">
        <f t="shared" si="62"/>
        <v>2026</v>
      </c>
      <c r="H708" s="6" t="str">
        <f>IF(A708&lt;&gt;" ",G708&amp;"-"&amp;F708&amp;"-"&amp;COUNTIFS($G$2:G708,G708,$F$2:F708,F708)," ")</f>
        <v>2026-11-7</v>
      </c>
    </row>
    <row r="709" spans="1:8" x14ac:dyDescent="0.25">
      <c r="A709" s="11">
        <v>46334</v>
      </c>
      <c r="B709" s="3" t="str">
        <f t="shared" si="59"/>
        <v>domingo</v>
      </c>
      <c r="C709" s="13"/>
      <c r="D709" s="16"/>
      <c r="E709" s="4" t="str">
        <f t="shared" si="60"/>
        <v xml:space="preserve"> </v>
      </c>
      <c r="F709" s="3">
        <f t="shared" si="61"/>
        <v>11</v>
      </c>
      <c r="G709" s="3">
        <f t="shared" si="62"/>
        <v>2026</v>
      </c>
      <c r="H709" s="6" t="str">
        <f>IF(A709&lt;&gt;" ",G709&amp;"-"&amp;F709&amp;"-"&amp;COUNTIFS($G$2:G709,G709,$F$2:F709,F709)," ")</f>
        <v>2026-11-8</v>
      </c>
    </row>
    <row r="710" spans="1:8" x14ac:dyDescent="0.25">
      <c r="A710" s="11">
        <v>46335</v>
      </c>
      <c r="B710" s="3" t="str">
        <f t="shared" si="59"/>
        <v>segunda-feira</v>
      </c>
      <c r="C710" s="13"/>
      <c r="D710" s="16"/>
      <c r="E710" s="4" t="str">
        <f t="shared" si="60"/>
        <v xml:space="preserve"> </v>
      </c>
      <c r="F710" s="3">
        <f t="shared" si="61"/>
        <v>11</v>
      </c>
      <c r="G710" s="3">
        <f t="shared" si="62"/>
        <v>2026</v>
      </c>
      <c r="H710" s="6" t="str">
        <f>IF(A710&lt;&gt;" ",G710&amp;"-"&amp;F710&amp;"-"&amp;COUNTIFS($G$2:G710,G710,$F$2:F710,F710)," ")</f>
        <v>2026-11-9</v>
      </c>
    </row>
    <row r="711" spans="1:8" x14ac:dyDescent="0.25">
      <c r="A711" s="11">
        <v>46336</v>
      </c>
      <c r="B711" s="3" t="str">
        <f t="shared" si="59"/>
        <v>terça-feira</v>
      </c>
      <c r="C711" s="13"/>
      <c r="D711" s="16"/>
      <c r="E711" s="4" t="str">
        <f t="shared" si="60"/>
        <v xml:space="preserve"> </v>
      </c>
      <c r="F711" s="3">
        <f t="shared" si="61"/>
        <v>11</v>
      </c>
      <c r="G711" s="3">
        <f t="shared" si="62"/>
        <v>2026</v>
      </c>
      <c r="H711" s="6" t="str">
        <f>IF(A711&lt;&gt;" ",G711&amp;"-"&amp;F711&amp;"-"&amp;COUNTIFS($G$2:G711,G711,$F$2:F711,F711)," ")</f>
        <v>2026-11-10</v>
      </c>
    </row>
    <row r="712" spans="1:8" x14ac:dyDescent="0.25">
      <c r="A712" s="11">
        <v>46337</v>
      </c>
      <c r="B712" s="3" t="str">
        <f t="shared" si="59"/>
        <v>quarta-feira</v>
      </c>
      <c r="C712" s="13"/>
      <c r="D712" s="16"/>
      <c r="E712" s="4" t="str">
        <f t="shared" si="60"/>
        <v xml:space="preserve"> </v>
      </c>
      <c r="F712" s="3">
        <f t="shared" si="61"/>
        <v>11</v>
      </c>
      <c r="G712" s="3">
        <f t="shared" si="62"/>
        <v>2026</v>
      </c>
      <c r="H712" s="6" t="str">
        <f>IF(A712&lt;&gt;" ",G712&amp;"-"&amp;F712&amp;"-"&amp;COUNTIFS($G$2:G712,G712,$F$2:F712,F712)," ")</f>
        <v>2026-11-11</v>
      </c>
    </row>
    <row r="713" spans="1:8" x14ac:dyDescent="0.25">
      <c r="A713" s="11">
        <v>46338</v>
      </c>
      <c r="B713" s="3" t="str">
        <f t="shared" si="59"/>
        <v>quinta-feira</v>
      </c>
      <c r="C713" s="13"/>
      <c r="D713" s="16"/>
      <c r="E713" s="4" t="str">
        <f t="shared" si="60"/>
        <v xml:space="preserve"> </v>
      </c>
      <c r="F713" s="3">
        <f t="shared" si="61"/>
        <v>11</v>
      </c>
      <c r="G713" s="3">
        <f t="shared" si="62"/>
        <v>2026</v>
      </c>
      <c r="H713" s="6" t="str">
        <f>IF(A713&lt;&gt;" ",G713&amp;"-"&amp;F713&amp;"-"&amp;COUNTIFS($G$2:G713,G713,$F$2:F713,F713)," ")</f>
        <v>2026-11-12</v>
      </c>
    </row>
    <row r="714" spans="1:8" x14ac:dyDescent="0.25">
      <c r="A714" s="11">
        <v>46339</v>
      </c>
      <c r="B714" s="3" t="str">
        <f t="shared" si="59"/>
        <v>sexta-feira</v>
      </c>
      <c r="C714" s="13"/>
      <c r="D714" s="16"/>
      <c r="E714" s="4" t="str">
        <f t="shared" si="60"/>
        <v xml:space="preserve"> </v>
      </c>
      <c r="F714" s="3">
        <f t="shared" si="61"/>
        <v>11</v>
      </c>
      <c r="G714" s="3">
        <f t="shared" si="62"/>
        <v>2026</v>
      </c>
      <c r="H714" s="6" t="str">
        <f>IF(A714&lt;&gt;" ",G714&amp;"-"&amp;F714&amp;"-"&amp;COUNTIFS($G$2:G714,G714,$F$2:F714,F714)," ")</f>
        <v>2026-11-13</v>
      </c>
    </row>
    <row r="715" spans="1:8" x14ac:dyDescent="0.25">
      <c r="A715" s="11">
        <v>46340</v>
      </c>
      <c r="B715" s="3" t="str">
        <f t="shared" si="59"/>
        <v>sábado</v>
      </c>
      <c r="C715" s="13"/>
      <c r="D715" s="16"/>
      <c r="E715" s="4" t="str">
        <f t="shared" si="60"/>
        <v xml:space="preserve"> </v>
      </c>
      <c r="F715" s="3">
        <f t="shared" si="61"/>
        <v>11</v>
      </c>
      <c r="G715" s="3">
        <f t="shared" si="62"/>
        <v>2026</v>
      </c>
      <c r="H715" s="6" t="str">
        <f>IF(A715&lt;&gt;" ",G715&amp;"-"&amp;F715&amp;"-"&amp;COUNTIFS($G$2:G715,G715,$F$2:F715,F715)," ")</f>
        <v>2026-11-14</v>
      </c>
    </row>
    <row r="716" spans="1:8" x14ac:dyDescent="0.25">
      <c r="A716" s="11">
        <v>46341</v>
      </c>
      <c r="B716" s="3" t="str">
        <f t="shared" si="59"/>
        <v>domingo</v>
      </c>
      <c r="C716" s="13"/>
      <c r="D716" s="16"/>
      <c r="E716" s="4" t="str">
        <f t="shared" si="60"/>
        <v xml:space="preserve"> </v>
      </c>
      <c r="F716" s="3">
        <f t="shared" si="61"/>
        <v>11</v>
      </c>
      <c r="G716" s="3">
        <f t="shared" si="62"/>
        <v>2026</v>
      </c>
      <c r="H716" s="6" t="str">
        <f>IF(A716&lt;&gt;" ",G716&amp;"-"&amp;F716&amp;"-"&amp;COUNTIFS($G$2:G716,G716,$F$2:F716,F716)," ")</f>
        <v>2026-11-15</v>
      </c>
    </row>
    <row r="717" spans="1:8" x14ac:dyDescent="0.25">
      <c r="A717" s="11">
        <v>46342</v>
      </c>
      <c r="B717" s="3" t="str">
        <f t="shared" si="59"/>
        <v>segunda-feira</v>
      </c>
      <c r="C717" s="13"/>
      <c r="D717" s="16"/>
      <c r="E717" s="4" t="str">
        <f t="shared" si="60"/>
        <v xml:space="preserve"> </v>
      </c>
      <c r="F717" s="3">
        <f t="shared" si="61"/>
        <v>11</v>
      </c>
      <c r="G717" s="3">
        <f t="shared" si="62"/>
        <v>2026</v>
      </c>
      <c r="H717" s="6" t="str">
        <f>IF(A717&lt;&gt;" ",G717&amp;"-"&amp;F717&amp;"-"&amp;COUNTIFS($G$2:G717,G717,$F$2:F717,F717)," ")</f>
        <v>2026-11-16</v>
      </c>
    </row>
    <row r="718" spans="1:8" x14ac:dyDescent="0.25">
      <c r="A718" s="11">
        <v>46343</v>
      </c>
      <c r="B718" s="3" t="str">
        <f t="shared" si="59"/>
        <v>terça-feira</v>
      </c>
      <c r="C718" s="13"/>
      <c r="D718" s="16"/>
      <c r="E718" s="4" t="str">
        <f t="shared" si="60"/>
        <v xml:space="preserve"> </v>
      </c>
      <c r="F718" s="3">
        <f t="shared" si="61"/>
        <v>11</v>
      </c>
      <c r="G718" s="3">
        <f t="shared" si="62"/>
        <v>2026</v>
      </c>
      <c r="H718" s="6" t="str">
        <f>IF(A718&lt;&gt;" ",G718&amp;"-"&amp;F718&amp;"-"&amp;COUNTIFS($G$2:G718,G718,$F$2:F718,F718)," ")</f>
        <v>2026-11-17</v>
      </c>
    </row>
    <row r="719" spans="1:8" x14ac:dyDescent="0.25">
      <c r="A719" s="11">
        <v>46344</v>
      </c>
      <c r="B719" s="3" t="str">
        <f t="shared" si="59"/>
        <v>quarta-feira</v>
      </c>
      <c r="C719" s="13"/>
      <c r="D719" s="16"/>
      <c r="E719" s="4" t="str">
        <f t="shared" si="60"/>
        <v xml:space="preserve"> </v>
      </c>
      <c r="F719" s="3">
        <f t="shared" si="61"/>
        <v>11</v>
      </c>
      <c r="G719" s="3">
        <f t="shared" si="62"/>
        <v>2026</v>
      </c>
      <c r="H719" s="6" t="str">
        <f>IF(A719&lt;&gt;" ",G719&amp;"-"&amp;F719&amp;"-"&amp;COUNTIFS($G$2:G719,G719,$F$2:F719,F719)," ")</f>
        <v>2026-11-18</v>
      </c>
    </row>
    <row r="720" spans="1:8" x14ac:dyDescent="0.25">
      <c r="A720" s="11">
        <v>46345</v>
      </c>
      <c r="B720" s="3" t="str">
        <f t="shared" si="59"/>
        <v>quinta-feira</v>
      </c>
      <c r="C720" s="13"/>
      <c r="D720" s="16"/>
      <c r="E720" s="4" t="str">
        <f t="shared" si="60"/>
        <v xml:space="preserve"> </v>
      </c>
      <c r="F720" s="3">
        <f t="shared" si="61"/>
        <v>11</v>
      </c>
      <c r="G720" s="3">
        <f t="shared" si="62"/>
        <v>2026</v>
      </c>
      <c r="H720" s="6" t="str">
        <f>IF(A720&lt;&gt;" ",G720&amp;"-"&amp;F720&amp;"-"&amp;COUNTIFS($G$2:G720,G720,$F$2:F720,F720)," ")</f>
        <v>2026-11-19</v>
      </c>
    </row>
    <row r="721" spans="1:8" x14ac:dyDescent="0.25">
      <c r="A721" s="11">
        <v>46346</v>
      </c>
      <c r="B721" s="3" t="str">
        <f t="shared" si="59"/>
        <v>sexta-feira</v>
      </c>
      <c r="C721" s="13"/>
      <c r="D721" s="16"/>
      <c r="E721" s="4" t="str">
        <f t="shared" si="60"/>
        <v xml:space="preserve"> </v>
      </c>
      <c r="F721" s="3">
        <f t="shared" si="61"/>
        <v>11</v>
      </c>
      <c r="G721" s="3">
        <f t="shared" si="62"/>
        <v>2026</v>
      </c>
      <c r="H721" s="6" t="str">
        <f>IF(A721&lt;&gt;" ",G721&amp;"-"&amp;F721&amp;"-"&amp;COUNTIFS($G$2:G721,G721,$F$2:F721,F721)," ")</f>
        <v>2026-11-20</v>
      </c>
    </row>
    <row r="722" spans="1:8" x14ac:dyDescent="0.25">
      <c r="A722" s="11">
        <v>46347</v>
      </c>
      <c r="B722" s="3" t="str">
        <f t="shared" si="59"/>
        <v>sábado</v>
      </c>
      <c r="C722" s="13"/>
      <c r="D722" s="16"/>
      <c r="E722" s="4" t="str">
        <f t="shared" si="60"/>
        <v xml:space="preserve"> </v>
      </c>
      <c r="F722" s="3">
        <f t="shared" si="61"/>
        <v>11</v>
      </c>
      <c r="G722" s="3">
        <f t="shared" si="62"/>
        <v>2026</v>
      </c>
      <c r="H722" s="6" t="str">
        <f>IF(A722&lt;&gt;" ",G722&amp;"-"&amp;F722&amp;"-"&amp;COUNTIFS($G$2:G722,G722,$F$2:F722,F722)," ")</f>
        <v>2026-11-21</v>
      </c>
    </row>
    <row r="723" spans="1:8" x14ac:dyDescent="0.25">
      <c r="A723" s="11">
        <v>46348</v>
      </c>
      <c r="B723" s="3" t="str">
        <f t="shared" si="59"/>
        <v>domingo</v>
      </c>
      <c r="C723" s="13"/>
      <c r="D723" s="16"/>
      <c r="E723" s="4" t="str">
        <f t="shared" si="60"/>
        <v xml:space="preserve"> </v>
      </c>
      <c r="F723" s="3">
        <f t="shared" si="61"/>
        <v>11</v>
      </c>
      <c r="G723" s="3">
        <f t="shared" si="62"/>
        <v>2026</v>
      </c>
      <c r="H723" s="6" t="str">
        <f>IF(A723&lt;&gt;" ",G723&amp;"-"&amp;F723&amp;"-"&amp;COUNTIFS($G$2:G723,G723,$F$2:F723,F723)," ")</f>
        <v>2026-11-22</v>
      </c>
    </row>
    <row r="724" spans="1:8" x14ac:dyDescent="0.25">
      <c r="A724" s="11">
        <v>46349</v>
      </c>
      <c r="B724" s="3" t="str">
        <f t="shared" si="59"/>
        <v>segunda-feira</v>
      </c>
      <c r="C724" s="13"/>
      <c r="D724" s="16"/>
      <c r="E724" s="4" t="str">
        <f t="shared" si="60"/>
        <v xml:space="preserve"> </v>
      </c>
      <c r="F724" s="3">
        <f t="shared" si="61"/>
        <v>11</v>
      </c>
      <c r="G724" s="3">
        <f t="shared" si="62"/>
        <v>2026</v>
      </c>
      <c r="H724" s="6" t="str">
        <f>IF(A724&lt;&gt;" ",G724&amp;"-"&amp;F724&amp;"-"&amp;COUNTIFS($G$2:G724,G724,$F$2:F724,F724)," ")</f>
        <v>2026-11-23</v>
      </c>
    </row>
    <row r="725" spans="1:8" x14ac:dyDescent="0.25">
      <c r="A725" s="11">
        <v>46350</v>
      </c>
      <c r="B725" s="3" t="str">
        <f t="shared" si="59"/>
        <v>terça-feira</v>
      </c>
      <c r="C725" s="13"/>
      <c r="D725" s="16"/>
      <c r="E725" s="4" t="str">
        <f t="shared" si="60"/>
        <v xml:space="preserve"> </v>
      </c>
      <c r="F725" s="3">
        <f t="shared" si="61"/>
        <v>11</v>
      </c>
      <c r="G725" s="3">
        <f t="shared" si="62"/>
        <v>2026</v>
      </c>
      <c r="H725" s="6" t="str">
        <f>IF(A725&lt;&gt;" ",G725&amp;"-"&amp;F725&amp;"-"&amp;COUNTIFS($G$2:G725,G725,$F$2:F725,F725)," ")</f>
        <v>2026-11-24</v>
      </c>
    </row>
    <row r="726" spans="1:8" x14ac:dyDescent="0.25">
      <c r="A726" s="11">
        <v>46351</v>
      </c>
      <c r="B726" s="3" t="str">
        <f t="shared" si="59"/>
        <v>quarta-feira</v>
      </c>
      <c r="C726" s="13"/>
      <c r="D726" s="16"/>
      <c r="E726" s="4" t="str">
        <f t="shared" si="60"/>
        <v xml:space="preserve"> </v>
      </c>
      <c r="F726" s="3">
        <f t="shared" si="61"/>
        <v>11</v>
      </c>
      <c r="G726" s="3">
        <f t="shared" si="62"/>
        <v>2026</v>
      </c>
      <c r="H726" s="6" t="str">
        <f>IF(A726&lt;&gt;" ",G726&amp;"-"&amp;F726&amp;"-"&amp;COUNTIFS($G$2:G726,G726,$F$2:F726,F726)," ")</f>
        <v>2026-11-25</v>
      </c>
    </row>
    <row r="727" spans="1:8" x14ac:dyDescent="0.25">
      <c r="A727" s="11">
        <v>46352</v>
      </c>
      <c r="B727" s="3" t="str">
        <f t="shared" si="59"/>
        <v>quinta-feira</v>
      </c>
      <c r="C727" s="13"/>
      <c r="D727" s="16"/>
      <c r="E727" s="4" t="str">
        <f t="shared" si="60"/>
        <v xml:space="preserve"> </v>
      </c>
      <c r="F727" s="3">
        <f t="shared" si="61"/>
        <v>11</v>
      </c>
      <c r="G727" s="3">
        <f t="shared" si="62"/>
        <v>2026</v>
      </c>
      <c r="H727" s="6" t="str">
        <f>IF(A727&lt;&gt;" ",G727&amp;"-"&amp;F727&amp;"-"&amp;COUNTIFS($G$2:G727,G727,$F$2:F727,F727)," ")</f>
        <v>2026-11-26</v>
      </c>
    </row>
    <row r="728" spans="1:8" x14ac:dyDescent="0.25">
      <c r="A728" s="11">
        <v>46353</v>
      </c>
      <c r="B728" s="3" t="str">
        <f t="shared" si="59"/>
        <v>sexta-feira</v>
      </c>
      <c r="C728" s="13"/>
      <c r="D728" s="16"/>
      <c r="E728" s="4" t="str">
        <f t="shared" si="60"/>
        <v xml:space="preserve"> </v>
      </c>
      <c r="F728" s="3">
        <f t="shared" si="61"/>
        <v>11</v>
      </c>
      <c r="G728" s="3">
        <f t="shared" si="62"/>
        <v>2026</v>
      </c>
      <c r="H728" s="6" t="str">
        <f>IF(A728&lt;&gt;" ",G728&amp;"-"&amp;F728&amp;"-"&amp;COUNTIFS($G$2:G728,G728,$F$2:F728,F728)," ")</f>
        <v>2026-11-27</v>
      </c>
    </row>
    <row r="729" spans="1:8" x14ac:dyDescent="0.25">
      <c r="A729" s="11">
        <v>46354</v>
      </c>
      <c r="B729" s="3" t="str">
        <f t="shared" ref="B729:B762" si="63">IF(A729&lt;&gt;" ",TEXT(A729,"dddd")," ")</f>
        <v>sábado</v>
      </c>
      <c r="C729" s="13"/>
      <c r="D729" s="16"/>
      <c r="E729" s="4" t="str">
        <f t="shared" ref="E729:E762" si="64">IF(D729&gt;0,C729/D729," ")</f>
        <v xml:space="preserve"> </v>
      </c>
      <c r="F729" s="3">
        <f t="shared" ref="F729:F762" si="65">IF(A729&lt;&gt;" ",MONTH(A729)," ")</f>
        <v>11</v>
      </c>
      <c r="G729" s="3">
        <f t="shared" ref="G729:G762" si="66">IF(A729&lt;&gt;" ",YEAR(A729)," ")</f>
        <v>2026</v>
      </c>
      <c r="H729" s="6" t="str">
        <f>IF(A729&lt;&gt;" ",G729&amp;"-"&amp;F729&amp;"-"&amp;COUNTIFS($G$2:G729,G729,$F$2:F729,F729)," ")</f>
        <v>2026-11-28</v>
      </c>
    </row>
    <row r="730" spans="1:8" x14ac:dyDescent="0.25">
      <c r="A730" s="11">
        <v>46355</v>
      </c>
      <c r="B730" s="3" t="str">
        <f t="shared" si="63"/>
        <v>domingo</v>
      </c>
      <c r="C730" s="13"/>
      <c r="D730" s="16"/>
      <c r="E730" s="4" t="str">
        <f t="shared" si="64"/>
        <v xml:space="preserve"> </v>
      </c>
      <c r="F730" s="3">
        <f t="shared" si="65"/>
        <v>11</v>
      </c>
      <c r="G730" s="3">
        <f t="shared" si="66"/>
        <v>2026</v>
      </c>
      <c r="H730" s="6" t="str">
        <f>IF(A730&lt;&gt;" ",G730&amp;"-"&amp;F730&amp;"-"&amp;COUNTIFS($G$2:G730,G730,$F$2:F730,F730)," ")</f>
        <v>2026-11-29</v>
      </c>
    </row>
    <row r="731" spans="1:8" x14ac:dyDescent="0.25">
      <c r="A731" s="11">
        <v>46356</v>
      </c>
      <c r="B731" s="3" t="str">
        <f t="shared" si="63"/>
        <v>segunda-feira</v>
      </c>
      <c r="C731" s="13"/>
      <c r="D731" s="16"/>
      <c r="E731" s="4" t="str">
        <f t="shared" si="64"/>
        <v xml:space="preserve"> </v>
      </c>
      <c r="F731" s="3">
        <f t="shared" si="65"/>
        <v>11</v>
      </c>
      <c r="G731" s="3">
        <f t="shared" si="66"/>
        <v>2026</v>
      </c>
      <c r="H731" s="6" t="str">
        <f>IF(A731&lt;&gt;" ",G731&amp;"-"&amp;F731&amp;"-"&amp;COUNTIFS($G$2:G731,G731,$F$2:F731,F731)," ")</f>
        <v>2026-11-30</v>
      </c>
    </row>
    <row r="732" spans="1:8" x14ac:dyDescent="0.25">
      <c r="A732" s="11">
        <v>46357</v>
      </c>
      <c r="B732" s="3" t="str">
        <f t="shared" si="63"/>
        <v>terça-feira</v>
      </c>
      <c r="C732" s="13"/>
      <c r="D732" s="16"/>
      <c r="E732" s="4" t="str">
        <f t="shared" si="64"/>
        <v xml:space="preserve"> </v>
      </c>
      <c r="F732" s="3">
        <f t="shared" si="65"/>
        <v>12</v>
      </c>
      <c r="G732" s="3">
        <f t="shared" si="66"/>
        <v>2026</v>
      </c>
      <c r="H732" s="6" t="str">
        <f>IF(A732&lt;&gt;" ",G732&amp;"-"&amp;F732&amp;"-"&amp;COUNTIFS($G$2:G732,G732,$F$2:F732,F732)," ")</f>
        <v>2026-12-1</v>
      </c>
    </row>
    <row r="733" spans="1:8" x14ac:dyDescent="0.25">
      <c r="A733" s="11">
        <v>46358</v>
      </c>
      <c r="B733" s="3" t="str">
        <f t="shared" si="63"/>
        <v>quarta-feira</v>
      </c>
      <c r="C733" s="13"/>
      <c r="D733" s="16"/>
      <c r="E733" s="4" t="str">
        <f t="shared" si="64"/>
        <v xml:space="preserve"> </v>
      </c>
      <c r="F733" s="3">
        <f t="shared" si="65"/>
        <v>12</v>
      </c>
      <c r="G733" s="3">
        <f t="shared" si="66"/>
        <v>2026</v>
      </c>
      <c r="H733" s="6" t="str">
        <f>IF(A733&lt;&gt;" ",G733&amp;"-"&amp;F733&amp;"-"&amp;COUNTIFS($G$2:G733,G733,$F$2:F733,F733)," ")</f>
        <v>2026-12-2</v>
      </c>
    </row>
    <row r="734" spans="1:8" x14ac:dyDescent="0.25">
      <c r="A734" s="11">
        <v>46359</v>
      </c>
      <c r="B734" s="3" t="str">
        <f t="shared" si="63"/>
        <v>quinta-feira</v>
      </c>
      <c r="C734" s="13"/>
      <c r="D734" s="16"/>
      <c r="E734" s="4" t="str">
        <f t="shared" si="64"/>
        <v xml:space="preserve"> </v>
      </c>
      <c r="F734" s="3">
        <f t="shared" si="65"/>
        <v>12</v>
      </c>
      <c r="G734" s="3">
        <f t="shared" si="66"/>
        <v>2026</v>
      </c>
      <c r="H734" s="6" t="str">
        <f>IF(A734&lt;&gt;" ",G734&amp;"-"&amp;F734&amp;"-"&amp;COUNTIFS($G$2:G734,G734,$F$2:F734,F734)," ")</f>
        <v>2026-12-3</v>
      </c>
    </row>
    <row r="735" spans="1:8" x14ac:dyDescent="0.25">
      <c r="A735" s="11">
        <v>46360</v>
      </c>
      <c r="B735" s="3" t="str">
        <f t="shared" si="63"/>
        <v>sexta-feira</v>
      </c>
      <c r="C735" s="13"/>
      <c r="D735" s="16"/>
      <c r="E735" s="4" t="str">
        <f t="shared" si="64"/>
        <v xml:space="preserve"> </v>
      </c>
      <c r="F735" s="3">
        <f t="shared" si="65"/>
        <v>12</v>
      </c>
      <c r="G735" s="3">
        <f t="shared" si="66"/>
        <v>2026</v>
      </c>
      <c r="H735" s="6" t="str">
        <f>IF(A735&lt;&gt;" ",G735&amp;"-"&amp;F735&amp;"-"&amp;COUNTIFS($G$2:G735,G735,$F$2:F735,F735)," ")</f>
        <v>2026-12-4</v>
      </c>
    </row>
    <row r="736" spans="1:8" x14ac:dyDescent="0.25">
      <c r="A736" s="11">
        <v>46361</v>
      </c>
      <c r="B736" s="3" t="str">
        <f t="shared" si="63"/>
        <v>sábado</v>
      </c>
      <c r="C736" s="13"/>
      <c r="D736" s="16"/>
      <c r="E736" s="4" t="str">
        <f t="shared" si="64"/>
        <v xml:space="preserve"> </v>
      </c>
      <c r="F736" s="3">
        <f t="shared" si="65"/>
        <v>12</v>
      </c>
      <c r="G736" s="3">
        <f t="shared" si="66"/>
        <v>2026</v>
      </c>
      <c r="H736" s="6" t="str">
        <f>IF(A736&lt;&gt;" ",G736&amp;"-"&amp;F736&amp;"-"&amp;COUNTIFS($G$2:G736,G736,$F$2:F736,F736)," ")</f>
        <v>2026-12-5</v>
      </c>
    </row>
    <row r="737" spans="1:8" x14ac:dyDescent="0.25">
      <c r="A737" s="11">
        <v>46362</v>
      </c>
      <c r="B737" s="3" t="str">
        <f t="shared" si="63"/>
        <v>domingo</v>
      </c>
      <c r="C737" s="13"/>
      <c r="D737" s="16"/>
      <c r="E737" s="4" t="str">
        <f t="shared" si="64"/>
        <v xml:space="preserve"> </v>
      </c>
      <c r="F737" s="3">
        <f t="shared" si="65"/>
        <v>12</v>
      </c>
      <c r="G737" s="3">
        <f t="shared" si="66"/>
        <v>2026</v>
      </c>
      <c r="H737" s="6" t="str">
        <f>IF(A737&lt;&gt;" ",G737&amp;"-"&amp;F737&amp;"-"&amp;COUNTIFS($G$2:G737,G737,$F$2:F737,F737)," ")</f>
        <v>2026-12-6</v>
      </c>
    </row>
    <row r="738" spans="1:8" x14ac:dyDescent="0.25">
      <c r="A738" s="11">
        <v>46363</v>
      </c>
      <c r="B738" s="3" t="str">
        <f t="shared" si="63"/>
        <v>segunda-feira</v>
      </c>
      <c r="C738" s="13"/>
      <c r="D738" s="16"/>
      <c r="E738" s="4" t="str">
        <f t="shared" si="64"/>
        <v xml:space="preserve"> </v>
      </c>
      <c r="F738" s="3">
        <f t="shared" si="65"/>
        <v>12</v>
      </c>
      <c r="G738" s="3">
        <f t="shared" si="66"/>
        <v>2026</v>
      </c>
      <c r="H738" s="6" t="str">
        <f>IF(A738&lt;&gt;" ",G738&amp;"-"&amp;F738&amp;"-"&amp;COUNTIFS($G$2:G738,G738,$F$2:F738,F738)," ")</f>
        <v>2026-12-7</v>
      </c>
    </row>
    <row r="739" spans="1:8" x14ac:dyDescent="0.25">
      <c r="A739" s="11">
        <v>46364</v>
      </c>
      <c r="B739" s="3" t="str">
        <f t="shared" si="63"/>
        <v>terça-feira</v>
      </c>
      <c r="C739" s="13"/>
      <c r="D739" s="16"/>
      <c r="E739" s="4" t="str">
        <f t="shared" si="64"/>
        <v xml:space="preserve"> </v>
      </c>
      <c r="F739" s="3">
        <f t="shared" si="65"/>
        <v>12</v>
      </c>
      <c r="G739" s="3">
        <f t="shared" si="66"/>
        <v>2026</v>
      </c>
      <c r="H739" s="6" t="str">
        <f>IF(A739&lt;&gt;" ",G739&amp;"-"&amp;F739&amp;"-"&amp;COUNTIFS($G$2:G739,G739,$F$2:F739,F739)," ")</f>
        <v>2026-12-8</v>
      </c>
    </row>
    <row r="740" spans="1:8" x14ac:dyDescent="0.25">
      <c r="A740" s="11">
        <v>46365</v>
      </c>
      <c r="B740" s="3" t="str">
        <f t="shared" si="63"/>
        <v>quarta-feira</v>
      </c>
      <c r="C740" s="13"/>
      <c r="D740" s="16"/>
      <c r="E740" s="4" t="str">
        <f t="shared" si="64"/>
        <v xml:space="preserve"> </v>
      </c>
      <c r="F740" s="3">
        <f t="shared" si="65"/>
        <v>12</v>
      </c>
      <c r="G740" s="3">
        <f t="shared" si="66"/>
        <v>2026</v>
      </c>
      <c r="H740" s="6" t="str">
        <f>IF(A740&lt;&gt;" ",G740&amp;"-"&amp;F740&amp;"-"&amp;COUNTIFS($G$2:G740,G740,$F$2:F740,F740)," ")</f>
        <v>2026-12-9</v>
      </c>
    </row>
    <row r="741" spans="1:8" x14ac:dyDescent="0.25">
      <c r="A741" s="11">
        <v>46366</v>
      </c>
      <c r="B741" s="3" t="str">
        <f t="shared" si="63"/>
        <v>quinta-feira</v>
      </c>
      <c r="C741" s="13"/>
      <c r="D741" s="16"/>
      <c r="E741" s="4" t="str">
        <f t="shared" si="64"/>
        <v xml:space="preserve"> </v>
      </c>
      <c r="F741" s="3">
        <f t="shared" si="65"/>
        <v>12</v>
      </c>
      <c r="G741" s="3">
        <f t="shared" si="66"/>
        <v>2026</v>
      </c>
      <c r="H741" s="6" t="str">
        <f>IF(A741&lt;&gt;" ",G741&amp;"-"&amp;F741&amp;"-"&amp;COUNTIFS($G$2:G741,G741,$F$2:F741,F741)," ")</f>
        <v>2026-12-10</v>
      </c>
    </row>
    <row r="742" spans="1:8" x14ac:dyDescent="0.25">
      <c r="A742" s="11">
        <v>46367</v>
      </c>
      <c r="B742" s="3" t="str">
        <f t="shared" si="63"/>
        <v>sexta-feira</v>
      </c>
      <c r="C742" s="13"/>
      <c r="D742" s="16"/>
      <c r="E742" s="4" t="str">
        <f t="shared" si="64"/>
        <v xml:space="preserve"> </v>
      </c>
      <c r="F742" s="3">
        <f t="shared" si="65"/>
        <v>12</v>
      </c>
      <c r="G742" s="3">
        <f t="shared" si="66"/>
        <v>2026</v>
      </c>
      <c r="H742" s="6" t="str">
        <f>IF(A742&lt;&gt;" ",G742&amp;"-"&amp;F742&amp;"-"&amp;COUNTIFS($G$2:G742,G742,$F$2:F742,F742)," ")</f>
        <v>2026-12-11</v>
      </c>
    </row>
    <row r="743" spans="1:8" x14ac:dyDescent="0.25">
      <c r="A743" s="11">
        <v>46368</v>
      </c>
      <c r="B743" s="3" t="str">
        <f t="shared" si="63"/>
        <v>sábado</v>
      </c>
      <c r="C743" s="13"/>
      <c r="D743" s="16"/>
      <c r="E743" s="4" t="str">
        <f t="shared" si="64"/>
        <v xml:space="preserve"> </v>
      </c>
      <c r="F743" s="3">
        <f t="shared" si="65"/>
        <v>12</v>
      </c>
      <c r="G743" s="3">
        <f t="shared" si="66"/>
        <v>2026</v>
      </c>
      <c r="H743" s="6" t="str">
        <f>IF(A743&lt;&gt;" ",G743&amp;"-"&amp;F743&amp;"-"&amp;COUNTIFS($G$2:G743,G743,$F$2:F743,F743)," ")</f>
        <v>2026-12-12</v>
      </c>
    </row>
    <row r="744" spans="1:8" x14ac:dyDescent="0.25">
      <c r="A744" s="11">
        <v>46369</v>
      </c>
      <c r="B744" s="3" t="str">
        <f t="shared" si="63"/>
        <v>domingo</v>
      </c>
      <c r="C744" s="13"/>
      <c r="D744" s="16"/>
      <c r="E744" s="4" t="str">
        <f t="shared" si="64"/>
        <v xml:space="preserve"> </v>
      </c>
      <c r="F744" s="3">
        <f t="shared" si="65"/>
        <v>12</v>
      </c>
      <c r="G744" s="3">
        <f t="shared" si="66"/>
        <v>2026</v>
      </c>
      <c r="H744" s="6" t="str">
        <f>IF(A744&lt;&gt;" ",G744&amp;"-"&amp;F744&amp;"-"&amp;COUNTIFS($G$2:G744,G744,$F$2:F744,F744)," ")</f>
        <v>2026-12-13</v>
      </c>
    </row>
    <row r="745" spans="1:8" x14ac:dyDescent="0.25">
      <c r="A745" s="11">
        <v>46370</v>
      </c>
      <c r="B745" s="3" t="str">
        <f t="shared" si="63"/>
        <v>segunda-feira</v>
      </c>
      <c r="C745" s="13"/>
      <c r="D745" s="16"/>
      <c r="E745" s="4" t="str">
        <f t="shared" si="64"/>
        <v xml:space="preserve"> </v>
      </c>
      <c r="F745" s="3">
        <f t="shared" si="65"/>
        <v>12</v>
      </c>
      <c r="G745" s="3">
        <f t="shared" si="66"/>
        <v>2026</v>
      </c>
      <c r="H745" s="6" t="str">
        <f>IF(A745&lt;&gt;" ",G745&amp;"-"&amp;F745&amp;"-"&amp;COUNTIFS($G$2:G745,G745,$F$2:F745,F745)," ")</f>
        <v>2026-12-14</v>
      </c>
    </row>
    <row r="746" spans="1:8" x14ac:dyDescent="0.25">
      <c r="A746" s="11">
        <v>46371</v>
      </c>
      <c r="B746" s="3" t="str">
        <f t="shared" si="63"/>
        <v>terça-feira</v>
      </c>
      <c r="C746" s="13"/>
      <c r="D746" s="16"/>
      <c r="E746" s="4" t="str">
        <f t="shared" si="64"/>
        <v xml:space="preserve"> </v>
      </c>
      <c r="F746" s="3">
        <f t="shared" si="65"/>
        <v>12</v>
      </c>
      <c r="G746" s="3">
        <f t="shared" si="66"/>
        <v>2026</v>
      </c>
      <c r="H746" s="6" t="str">
        <f>IF(A746&lt;&gt;" ",G746&amp;"-"&amp;F746&amp;"-"&amp;COUNTIFS($G$2:G746,G746,$F$2:F746,F746)," ")</f>
        <v>2026-12-15</v>
      </c>
    </row>
    <row r="747" spans="1:8" x14ac:dyDescent="0.25">
      <c r="A747" s="11">
        <v>46372</v>
      </c>
      <c r="B747" s="3" t="str">
        <f t="shared" si="63"/>
        <v>quarta-feira</v>
      </c>
      <c r="C747" s="13"/>
      <c r="D747" s="16"/>
      <c r="E747" s="4" t="str">
        <f t="shared" si="64"/>
        <v xml:space="preserve"> </v>
      </c>
      <c r="F747" s="3">
        <f t="shared" si="65"/>
        <v>12</v>
      </c>
      <c r="G747" s="3">
        <f t="shared" si="66"/>
        <v>2026</v>
      </c>
      <c r="H747" s="6" t="str">
        <f>IF(A747&lt;&gt;" ",G747&amp;"-"&amp;F747&amp;"-"&amp;COUNTIFS($G$2:G747,G747,$F$2:F747,F747)," ")</f>
        <v>2026-12-16</v>
      </c>
    </row>
    <row r="748" spans="1:8" x14ac:dyDescent="0.25">
      <c r="A748" s="11">
        <v>46373</v>
      </c>
      <c r="B748" s="3" t="str">
        <f t="shared" si="63"/>
        <v>quinta-feira</v>
      </c>
      <c r="C748" s="13"/>
      <c r="D748" s="16"/>
      <c r="E748" s="4" t="str">
        <f t="shared" si="64"/>
        <v xml:space="preserve"> </v>
      </c>
      <c r="F748" s="3">
        <f t="shared" si="65"/>
        <v>12</v>
      </c>
      <c r="G748" s="3">
        <f t="shared" si="66"/>
        <v>2026</v>
      </c>
      <c r="H748" s="6" t="str">
        <f>IF(A748&lt;&gt;" ",G748&amp;"-"&amp;F748&amp;"-"&amp;COUNTIFS($G$2:G748,G748,$F$2:F748,F748)," ")</f>
        <v>2026-12-17</v>
      </c>
    </row>
    <row r="749" spans="1:8" x14ac:dyDescent="0.25">
      <c r="A749" s="11">
        <v>46374</v>
      </c>
      <c r="B749" s="3" t="str">
        <f t="shared" si="63"/>
        <v>sexta-feira</v>
      </c>
      <c r="C749" s="13"/>
      <c r="D749" s="16"/>
      <c r="E749" s="4" t="str">
        <f t="shared" si="64"/>
        <v xml:space="preserve"> </v>
      </c>
      <c r="F749" s="3">
        <f t="shared" si="65"/>
        <v>12</v>
      </c>
      <c r="G749" s="3">
        <f t="shared" si="66"/>
        <v>2026</v>
      </c>
      <c r="H749" s="6" t="str">
        <f>IF(A749&lt;&gt;" ",G749&amp;"-"&amp;F749&amp;"-"&amp;COUNTIFS($G$2:G749,G749,$F$2:F749,F749)," ")</f>
        <v>2026-12-18</v>
      </c>
    </row>
    <row r="750" spans="1:8" x14ac:dyDescent="0.25">
      <c r="A750" s="11">
        <v>46375</v>
      </c>
      <c r="B750" s="3" t="str">
        <f t="shared" si="63"/>
        <v>sábado</v>
      </c>
      <c r="C750" s="13"/>
      <c r="D750" s="16"/>
      <c r="E750" s="4" t="str">
        <f t="shared" si="64"/>
        <v xml:space="preserve"> </v>
      </c>
      <c r="F750" s="3">
        <f t="shared" si="65"/>
        <v>12</v>
      </c>
      <c r="G750" s="3">
        <f t="shared" si="66"/>
        <v>2026</v>
      </c>
      <c r="H750" s="6" t="str">
        <f>IF(A750&lt;&gt;" ",G750&amp;"-"&amp;F750&amp;"-"&amp;COUNTIFS($G$2:G750,G750,$F$2:F750,F750)," ")</f>
        <v>2026-12-19</v>
      </c>
    </row>
    <row r="751" spans="1:8" x14ac:dyDescent="0.25">
      <c r="A751" s="11">
        <v>46376</v>
      </c>
      <c r="B751" s="3" t="str">
        <f t="shared" si="63"/>
        <v>domingo</v>
      </c>
      <c r="C751" s="13"/>
      <c r="D751" s="16"/>
      <c r="E751" s="4" t="str">
        <f t="shared" si="64"/>
        <v xml:space="preserve"> </v>
      </c>
      <c r="F751" s="3">
        <f t="shared" si="65"/>
        <v>12</v>
      </c>
      <c r="G751" s="3">
        <f t="shared" si="66"/>
        <v>2026</v>
      </c>
      <c r="H751" s="6" t="str">
        <f>IF(A751&lt;&gt;" ",G751&amp;"-"&amp;F751&amp;"-"&amp;COUNTIFS($G$2:G751,G751,$F$2:F751,F751)," ")</f>
        <v>2026-12-20</v>
      </c>
    </row>
    <row r="752" spans="1:8" x14ac:dyDescent="0.25">
      <c r="A752" s="11">
        <v>46377</v>
      </c>
      <c r="B752" s="3" t="str">
        <f t="shared" si="63"/>
        <v>segunda-feira</v>
      </c>
      <c r="C752" s="13"/>
      <c r="D752" s="16"/>
      <c r="E752" s="4" t="str">
        <f t="shared" si="64"/>
        <v xml:space="preserve"> </v>
      </c>
      <c r="F752" s="3">
        <f t="shared" si="65"/>
        <v>12</v>
      </c>
      <c r="G752" s="3">
        <f t="shared" si="66"/>
        <v>2026</v>
      </c>
      <c r="H752" s="6" t="str">
        <f>IF(A752&lt;&gt;" ",G752&amp;"-"&amp;F752&amp;"-"&amp;COUNTIFS($G$2:G752,G752,$F$2:F752,F752)," ")</f>
        <v>2026-12-21</v>
      </c>
    </row>
    <row r="753" spans="1:8" x14ac:dyDescent="0.25">
      <c r="A753" s="11">
        <v>46378</v>
      </c>
      <c r="B753" s="3" t="str">
        <f t="shared" si="63"/>
        <v>terça-feira</v>
      </c>
      <c r="C753" s="13"/>
      <c r="D753" s="16"/>
      <c r="E753" s="4" t="str">
        <f t="shared" si="64"/>
        <v xml:space="preserve"> </v>
      </c>
      <c r="F753" s="3">
        <f t="shared" si="65"/>
        <v>12</v>
      </c>
      <c r="G753" s="3">
        <f t="shared" si="66"/>
        <v>2026</v>
      </c>
      <c r="H753" s="6" t="str">
        <f>IF(A753&lt;&gt;" ",G753&amp;"-"&amp;F753&amp;"-"&amp;COUNTIFS($G$2:G753,G753,$F$2:F753,F753)," ")</f>
        <v>2026-12-22</v>
      </c>
    </row>
    <row r="754" spans="1:8" x14ac:dyDescent="0.25">
      <c r="A754" s="11">
        <v>46379</v>
      </c>
      <c r="B754" s="3" t="str">
        <f t="shared" si="63"/>
        <v>quarta-feira</v>
      </c>
      <c r="C754" s="13"/>
      <c r="D754" s="16"/>
      <c r="E754" s="4" t="str">
        <f t="shared" si="64"/>
        <v xml:space="preserve"> </v>
      </c>
      <c r="F754" s="3">
        <f t="shared" si="65"/>
        <v>12</v>
      </c>
      <c r="G754" s="3">
        <f t="shared" si="66"/>
        <v>2026</v>
      </c>
      <c r="H754" s="6" t="str">
        <f>IF(A754&lt;&gt;" ",G754&amp;"-"&amp;F754&amp;"-"&amp;COUNTIFS($G$2:G754,G754,$F$2:F754,F754)," ")</f>
        <v>2026-12-23</v>
      </c>
    </row>
    <row r="755" spans="1:8" x14ac:dyDescent="0.25">
      <c r="A755" s="11">
        <v>46380</v>
      </c>
      <c r="B755" s="3" t="str">
        <f t="shared" si="63"/>
        <v>quinta-feira</v>
      </c>
      <c r="C755" s="13"/>
      <c r="D755" s="16"/>
      <c r="E755" s="4" t="str">
        <f t="shared" si="64"/>
        <v xml:space="preserve"> </v>
      </c>
      <c r="F755" s="3">
        <f t="shared" si="65"/>
        <v>12</v>
      </c>
      <c r="G755" s="3">
        <f t="shared" si="66"/>
        <v>2026</v>
      </c>
      <c r="H755" s="6" t="str">
        <f>IF(A755&lt;&gt;" ",G755&amp;"-"&amp;F755&amp;"-"&amp;COUNTIFS($G$2:G755,G755,$F$2:F755,F755)," ")</f>
        <v>2026-12-24</v>
      </c>
    </row>
    <row r="756" spans="1:8" x14ac:dyDescent="0.25">
      <c r="A756" s="11">
        <v>46381</v>
      </c>
      <c r="B756" s="3" t="str">
        <f t="shared" si="63"/>
        <v>sexta-feira</v>
      </c>
      <c r="C756" s="13"/>
      <c r="D756" s="16"/>
      <c r="E756" s="4" t="str">
        <f t="shared" si="64"/>
        <v xml:space="preserve"> </v>
      </c>
      <c r="F756" s="3">
        <f t="shared" si="65"/>
        <v>12</v>
      </c>
      <c r="G756" s="3">
        <f t="shared" si="66"/>
        <v>2026</v>
      </c>
      <c r="H756" s="6" t="str">
        <f>IF(A756&lt;&gt;" ",G756&amp;"-"&amp;F756&amp;"-"&amp;COUNTIFS($G$2:G756,G756,$F$2:F756,F756)," ")</f>
        <v>2026-12-25</v>
      </c>
    </row>
    <row r="757" spans="1:8" x14ac:dyDescent="0.25">
      <c r="A757" s="11">
        <v>46382</v>
      </c>
      <c r="B757" s="3" t="str">
        <f t="shared" si="63"/>
        <v>sábado</v>
      </c>
      <c r="C757" s="13"/>
      <c r="D757" s="16"/>
      <c r="E757" s="4" t="str">
        <f t="shared" si="64"/>
        <v xml:space="preserve"> </v>
      </c>
      <c r="F757" s="3">
        <f t="shared" si="65"/>
        <v>12</v>
      </c>
      <c r="G757" s="3">
        <f t="shared" si="66"/>
        <v>2026</v>
      </c>
      <c r="H757" s="6" t="str">
        <f>IF(A757&lt;&gt;" ",G757&amp;"-"&amp;F757&amp;"-"&amp;COUNTIFS($G$2:G757,G757,$F$2:F757,F757)," ")</f>
        <v>2026-12-26</v>
      </c>
    </row>
    <row r="758" spans="1:8" x14ac:dyDescent="0.25">
      <c r="A758" s="11">
        <v>46383</v>
      </c>
      <c r="B758" s="3" t="str">
        <f t="shared" si="63"/>
        <v>domingo</v>
      </c>
      <c r="C758" s="13"/>
      <c r="D758" s="16"/>
      <c r="E758" s="4" t="str">
        <f t="shared" si="64"/>
        <v xml:space="preserve"> </v>
      </c>
      <c r="F758" s="3">
        <f t="shared" si="65"/>
        <v>12</v>
      </c>
      <c r="G758" s="3">
        <f t="shared" si="66"/>
        <v>2026</v>
      </c>
      <c r="H758" s="6" t="str">
        <f>IF(A758&lt;&gt;" ",G758&amp;"-"&amp;F758&amp;"-"&amp;COUNTIFS($G$2:G758,G758,$F$2:F758,F758)," ")</f>
        <v>2026-12-27</v>
      </c>
    </row>
    <row r="759" spans="1:8" x14ac:dyDescent="0.25">
      <c r="A759" s="11">
        <v>46384</v>
      </c>
      <c r="B759" s="3" t="str">
        <f t="shared" si="63"/>
        <v>segunda-feira</v>
      </c>
      <c r="C759" s="13"/>
      <c r="D759" s="16"/>
      <c r="E759" s="4" t="str">
        <f t="shared" si="64"/>
        <v xml:space="preserve"> </v>
      </c>
      <c r="F759" s="3">
        <f t="shared" si="65"/>
        <v>12</v>
      </c>
      <c r="G759" s="3">
        <f t="shared" si="66"/>
        <v>2026</v>
      </c>
      <c r="H759" s="6" t="str">
        <f>IF(A759&lt;&gt;" ",G759&amp;"-"&amp;F759&amp;"-"&amp;COUNTIFS($G$2:G759,G759,$F$2:F759,F759)," ")</f>
        <v>2026-12-28</v>
      </c>
    </row>
    <row r="760" spans="1:8" x14ac:dyDescent="0.25">
      <c r="A760" s="11">
        <v>46385</v>
      </c>
      <c r="B760" s="3" t="str">
        <f t="shared" si="63"/>
        <v>terça-feira</v>
      </c>
      <c r="C760" s="13"/>
      <c r="D760" s="16"/>
      <c r="E760" s="4" t="str">
        <f t="shared" si="64"/>
        <v xml:space="preserve"> </v>
      </c>
      <c r="F760" s="3">
        <f t="shared" si="65"/>
        <v>12</v>
      </c>
      <c r="G760" s="3">
        <f t="shared" si="66"/>
        <v>2026</v>
      </c>
      <c r="H760" s="6" t="str">
        <f>IF(A760&lt;&gt;" ",G760&amp;"-"&amp;F760&amp;"-"&amp;COUNTIFS($G$2:G760,G760,$F$2:F760,F760)," ")</f>
        <v>2026-12-29</v>
      </c>
    </row>
    <row r="761" spans="1:8" x14ac:dyDescent="0.25">
      <c r="A761" s="11">
        <v>46386</v>
      </c>
      <c r="B761" s="3" t="str">
        <f t="shared" si="63"/>
        <v>quarta-feira</v>
      </c>
      <c r="C761" s="13"/>
      <c r="D761" s="16"/>
      <c r="E761" s="4" t="str">
        <f t="shared" si="64"/>
        <v xml:space="preserve"> </v>
      </c>
      <c r="F761" s="3">
        <f t="shared" si="65"/>
        <v>12</v>
      </c>
      <c r="G761" s="3">
        <f t="shared" si="66"/>
        <v>2026</v>
      </c>
      <c r="H761" s="6" t="str">
        <f>IF(A761&lt;&gt;" ",G761&amp;"-"&amp;F761&amp;"-"&amp;COUNTIFS($G$2:G761,G761,$F$2:F761,F761)," ")</f>
        <v>2026-12-30</v>
      </c>
    </row>
    <row r="762" spans="1:8" x14ac:dyDescent="0.25">
      <c r="A762" s="11">
        <v>46387</v>
      </c>
      <c r="B762" s="3" t="str">
        <f t="shared" si="63"/>
        <v>quinta-feira</v>
      </c>
      <c r="C762" s="13"/>
      <c r="D762" s="16"/>
      <c r="E762" s="4" t="str">
        <f t="shared" si="64"/>
        <v xml:space="preserve"> </v>
      </c>
      <c r="F762" s="3">
        <f t="shared" si="65"/>
        <v>12</v>
      </c>
      <c r="G762" s="3">
        <f t="shared" si="66"/>
        <v>2026</v>
      </c>
      <c r="H762" s="6" t="str">
        <f>IF(A762&lt;&gt;" ",G762&amp;"-"&amp;F762&amp;"-"&amp;COUNTIFS($G$2:G762,G762,$F$2:F762,F762)," ")</f>
        <v>2026-12-31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1876-45C4-4635-9209-8BE3CDF44DA0}">
  <sheetPr>
    <tabColor rgb="FFFFFF00"/>
  </sheetPr>
  <dimension ref="A1:D62"/>
  <sheetViews>
    <sheetView workbookViewId="0">
      <selection activeCell="D15" sqref="D15"/>
    </sheetView>
  </sheetViews>
  <sheetFormatPr defaultRowHeight="15" x14ac:dyDescent="0.25"/>
  <cols>
    <col min="3" max="3" width="16.85546875" style="1" customWidth="1"/>
    <col min="4" max="4" width="17.28515625" style="24" bestFit="1" customWidth="1"/>
  </cols>
  <sheetData>
    <row r="1" spans="1:4" x14ac:dyDescent="0.25">
      <c r="A1" t="s">
        <v>17</v>
      </c>
      <c r="B1" t="s">
        <v>6</v>
      </c>
      <c r="C1" t="s">
        <v>5</v>
      </c>
      <c r="D1" s="22" t="s">
        <v>10</v>
      </c>
    </row>
    <row r="2" spans="1:4" x14ac:dyDescent="0.25">
      <c r="A2" t="str">
        <f>Tabela1[[#This Row],[Ano]]&amp;"-"&amp;Tabela1[[#This Row],[Mês]]</f>
        <v>2024-dez</v>
      </c>
      <c r="B2">
        <v>2024</v>
      </c>
      <c r="C2" t="s">
        <v>16</v>
      </c>
      <c r="D2" s="23">
        <v>1500000</v>
      </c>
    </row>
    <row r="3" spans="1:4" x14ac:dyDescent="0.25">
      <c r="A3" t="str">
        <f>Tabela1[[#This Row],[Ano]]&amp;"-"&amp;Tabela1[[#This Row],[Mês]]</f>
        <v>2025-jan</v>
      </c>
      <c r="B3">
        <v>2025</v>
      </c>
      <c r="C3" t="s">
        <v>11</v>
      </c>
      <c r="D3" s="22">
        <v>1000000</v>
      </c>
    </row>
    <row r="4" spans="1:4" x14ac:dyDescent="0.25">
      <c r="A4" t="str">
        <f>Tabela1[[#This Row],[Ano]]&amp;"-"&amp;Tabela1[[#This Row],[Mês]]</f>
        <v>2025-fev</v>
      </c>
      <c r="B4">
        <v>2025</v>
      </c>
      <c r="C4" t="s">
        <v>12</v>
      </c>
      <c r="D4" s="22">
        <v>1000000</v>
      </c>
    </row>
    <row r="5" spans="1:4" x14ac:dyDescent="0.25">
      <c r="A5" t="str">
        <f>Tabela1[[#This Row],[Ano]]&amp;"-"&amp;Tabela1[[#This Row],[Mês]]</f>
        <v>2025-mar</v>
      </c>
      <c r="B5">
        <v>2025</v>
      </c>
      <c r="C5" t="s">
        <v>13</v>
      </c>
      <c r="D5" s="22">
        <v>1170000</v>
      </c>
    </row>
    <row r="6" spans="1:4" x14ac:dyDescent="0.25">
      <c r="A6" t="str">
        <f>Tabela1[[#This Row],[Ano]]&amp;"-"&amp;Tabela1[[#This Row],[Mês]]</f>
        <v>2025-abr</v>
      </c>
      <c r="B6">
        <v>2025</v>
      </c>
      <c r="C6" t="s">
        <v>14</v>
      </c>
      <c r="D6" s="22">
        <v>1400000</v>
      </c>
    </row>
    <row r="7" spans="1:4" x14ac:dyDescent="0.25">
      <c r="A7" t="str">
        <f>Tabela1[[#This Row],[Ano]]&amp;"-"&amp;Tabela1[[#This Row],[Mês]]</f>
        <v>2025-mai</v>
      </c>
      <c r="B7">
        <v>2025</v>
      </c>
      <c r="C7" t="s">
        <v>15</v>
      </c>
      <c r="D7" s="22">
        <v>1100000</v>
      </c>
    </row>
    <row r="8" spans="1:4" x14ac:dyDescent="0.25">
      <c r="A8" t="str">
        <f>Tabela1[[#This Row],[Ano]]&amp;"-"&amp;Tabela1[[#This Row],[Mês]]</f>
        <v>2025-jun</v>
      </c>
      <c r="B8">
        <v>2025</v>
      </c>
      <c r="C8" t="s">
        <v>8</v>
      </c>
      <c r="D8" s="22">
        <v>1220000</v>
      </c>
    </row>
    <row r="9" spans="1:4" x14ac:dyDescent="0.25">
      <c r="A9" t="str">
        <f>Tabela1[[#This Row],[Ano]]&amp;"-"&amp;Tabela1[[#This Row],[Mês]]</f>
        <v>2025-jul</v>
      </c>
      <c r="B9">
        <v>2025</v>
      </c>
      <c r="C9" t="s">
        <v>9</v>
      </c>
      <c r="D9" s="22">
        <v>1350000</v>
      </c>
    </row>
    <row r="10" spans="1:4" x14ac:dyDescent="0.25">
      <c r="A10" t="str">
        <f>Tabela1[[#This Row],[Ano]]&amp;"-"&amp;Tabela1[[#This Row],[Mês]]</f>
        <v>2025-ago</v>
      </c>
      <c r="B10">
        <v>2025</v>
      </c>
      <c r="C10" t="s">
        <v>18</v>
      </c>
      <c r="D10" s="22">
        <v>1520000</v>
      </c>
    </row>
    <row r="11" spans="1:4" x14ac:dyDescent="0.25">
      <c r="A11" t="str">
        <f>Tabela1[[#This Row],[Ano]]&amp;"-"&amp;Tabela1[[#This Row],[Mês]]</f>
        <v>2025-set</v>
      </c>
      <c r="B11">
        <v>2025</v>
      </c>
      <c r="C11" t="s">
        <v>19</v>
      </c>
      <c r="D11" s="22">
        <v>1700000</v>
      </c>
    </row>
    <row r="12" spans="1:4" x14ac:dyDescent="0.25">
      <c r="A12" t="str">
        <f>Tabela1[[#This Row],[Ano]]&amp;"-"&amp;Tabela1[[#This Row],[Mês]]</f>
        <v>2025-out</v>
      </c>
      <c r="B12">
        <v>2025</v>
      </c>
      <c r="C12" t="s">
        <v>20</v>
      </c>
      <c r="D12" s="22">
        <v>1500000</v>
      </c>
    </row>
    <row r="13" spans="1:4" x14ac:dyDescent="0.25">
      <c r="A13" t="str">
        <f>Tabela1[[#This Row],[Ano]]&amp;"-"&amp;Tabela1[[#This Row],[Mês]]</f>
        <v>2025-nov</v>
      </c>
      <c r="B13">
        <v>2025</v>
      </c>
      <c r="C13" t="s">
        <v>21</v>
      </c>
      <c r="D13" s="22">
        <v>1300000</v>
      </c>
    </row>
    <row r="14" spans="1:4" x14ac:dyDescent="0.25">
      <c r="A14" t="str">
        <f>Tabela1[[#This Row],[Ano]]&amp;"-"&amp;Tabela1[[#This Row],[Mês]]</f>
        <v>2025-dez</v>
      </c>
      <c r="B14">
        <v>2025</v>
      </c>
      <c r="C14" t="s">
        <v>16</v>
      </c>
      <c r="D14" s="22">
        <v>1640000</v>
      </c>
    </row>
    <row r="15" spans="1:4" x14ac:dyDescent="0.25">
      <c r="A15" t="str">
        <f>Tabela1[[#This Row],[Ano]]&amp;"-"&amp;Tabela1[[#This Row],[Mês]]</f>
        <v>2026-jan</v>
      </c>
      <c r="B15">
        <v>2026</v>
      </c>
      <c r="C15" t="s">
        <v>11</v>
      </c>
      <c r="D15" s="22"/>
    </row>
    <row r="16" spans="1:4" x14ac:dyDescent="0.25">
      <c r="A16" t="str">
        <f>Tabela1[[#This Row],[Ano]]&amp;"-"&amp;Tabela1[[#This Row],[Mês]]</f>
        <v>2026-fev</v>
      </c>
      <c r="B16">
        <v>2026</v>
      </c>
      <c r="C16" t="s">
        <v>12</v>
      </c>
      <c r="D16" s="22"/>
    </row>
    <row r="17" spans="1:4" x14ac:dyDescent="0.25">
      <c r="A17" t="str">
        <f>Tabela1[[#This Row],[Ano]]&amp;"-"&amp;Tabela1[[#This Row],[Mês]]</f>
        <v>2026-mar</v>
      </c>
      <c r="B17">
        <v>2026</v>
      </c>
      <c r="C17" t="s">
        <v>13</v>
      </c>
      <c r="D17" s="22"/>
    </row>
    <row r="18" spans="1:4" x14ac:dyDescent="0.25">
      <c r="A18" t="str">
        <f>Tabela1[[#This Row],[Ano]]&amp;"-"&amp;Tabela1[[#This Row],[Mês]]</f>
        <v>2026-abr</v>
      </c>
      <c r="B18">
        <v>2026</v>
      </c>
      <c r="C18" t="s">
        <v>14</v>
      </c>
      <c r="D18" s="22"/>
    </row>
    <row r="19" spans="1:4" x14ac:dyDescent="0.25">
      <c r="A19" t="str">
        <f>Tabela1[[#This Row],[Ano]]&amp;"-"&amp;Tabela1[[#This Row],[Mês]]</f>
        <v>2026-mai</v>
      </c>
      <c r="B19">
        <v>2026</v>
      </c>
      <c r="C19" t="s">
        <v>15</v>
      </c>
      <c r="D19" s="22"/>
    </row>
    <row r="20" spans="1:4" x14ac:dyDescent="0.25">
      <c r="A20" t="str">
        <f>Tabela1[[#This Row],[Ano]]&amp;"-"&amp;Tabela1[[#This Row],[Mês]]</f>
        <v>2026-jun</v>
      </c>
      <c r="B20">
        <v>2026</v>
      </c>
      <c r="C20" t="s">
        <v>8</v>
      </c>
      <c r="D20" s="22"/>
    </row>
    <row r="21" spans="1:4" x14ac:dyDescent="0.25">
      <c r="A21" t="str">
        <f>Tabela1[[#This Row],[Ano]]&amp;"-"&amp;Tabela1[[#This Row],[Mês]]</f>
        <v>2026-jul</v>
      </c>
      <c r="B21">
        <v>2026</v>
      </c>
      <c r="C21" t="s">
        <v>9</v>
      </c>
      <c r="D21" s="22"/>
    </row>
    <row r="22" spans="1:4" x14ac:dyDescent="0.25">
      <c r="A22" t="str">
        <f>Tabela1[[#This Row],[Ano]]&amp;"-"&amp;Tabela1[[#This Row],[Mês]]</f>
        <v>2026-ago</v>
      </c>
      <c r="B22">
        <v>2026</v>
      </c>
      <c r="C22" t="s">
        <v>18</v>
      </c>
      <c r="D22" s="22"/>
    </row>
    <row r="23" spans="1:4" x14ac:dyDescent="0.25">
      <c r="A23" t="str">
        <f>Tabela1[[#This Row],[Ano]]&amp;"-"&amp;Tabela1[[#This Row],[Mês]]</f>
        <v>2026-set</v>
      </c>
      <c r="B23">
        <v>2026</v>
      </c>
      <c r="C23" t="s">
        <v>19</v>
      </c>
      <c r="D23" s="22"/>
    </row>
    <row r="24" spans="1:4" x14ac:dyDescent="0.25">
      <c r="A24" t="str">
        <f>Tabela1[[#This Row],[Ano]]&amp;"-"&amp;Tabela1[[#This Row],[Mês]]</f>
        <v>2026-out</v>
      </c>
      <c r="B24">
        <v>2026</v>
      </c>
      <c r="C24" t="s">
        <v>20</v>
      </c>
      <c r="D24" s="22"/>
    </row>
    <row r="25" spans="1:4" x14ac:dyDescent="0.25">
      <c r="A25" t="str">
        <f>Tabela1[[#This Row],[Ano]]&amp;"-"&amp;Tabela1[[#This Row],[Mês]]</f>
        <v>2026-nov</v>
      </c>
      <c r="B25">
        <v>2026</v>
      </c>
      <c r="C25" t="s">
        <v>21</v>
      </c>
      <c r="D25" s="22"/>
    </row>
    <row r="26" spans="1:4" x14ac:dyDescent="0.25">
      <c r="A26" t="str">
        <f>Tabela1[[#This Row],[Ano]]&amp;"-"&amp;Tabela1[[#This Row],[Mês]]</f>
        <v>2026-dez</v>
      </c>
      <c r="B26">
        <v>2026</v>
      </c>
      <c r="C26" t="s">
        <v>16</v>
      </c>
      <c r="D26" s="22"/>
    </row>
    <row r="27" spans="1:4" x14ac:dyDescent="0.25">
      <c r="A27" t="str">
        <f>Tabela1[[#This Row],[Ano]]&amp;"-"&amp;Tabela1[[#This Row],[Mês]]</f>
        <v>2027-jan</v>
      </c>
      <c r="B27">
        <v>2027</v>
      </c>
      <c r="C27" t="s">
        <v>11</v>
      </c>
      <c r="D27" s="22"/>
    </row>
    <row r="28" spans="1:4" x14ac:dyDescent="0.25">
      <c r="A28" t="str">
        <f>Tabela1[[#This Row],[Ano]]&amp;"-"&amp;Tabela1[[#This Row],[Mês]]</f>
        <v>2027-fev</v>
      </c>
      <c r="B28">
        <v>2027</v>
      </c>
      <c r="C28" t="s">
        <v>12</v>
      </c>
      <c r="D28" s="22"/>
    </row>
    <row r="29" spans="1:4" x14ac:dyDescent="0.25">
      <c r="A29" t="str">
        <f>Tabela1[[#This Row],[Ano]]&amp;"-"&amp;Tabela1[[#This Row],[Mês]]</f>
        <v>2027-mar</v>
      </c>
      <c r="B29">
        <v>2027</v>
      </c>
      <c r="C29" t="s">
        <v>13</v>
      </c>
      <c r="D29" s="22"/>
    </row>
    <row r="30" spans="1:4" x14ac:dyDescent="0.25">
      <c r="A30" t="str">
        <f>Tabela1[[#This Row],[Ano]]&amp;"-"&amp;Tabela1[[#This Row],[Mês]]</f>
        <v>2027-abr</v>
      </c>
      <c r="B30">
        <v>2027</v>
      </c>
      <c r="C30" t="s">
        <v>14</v>
      </c>
      <c r="D30" s="22"/>
    </row>
    <row r="31" spans="1:4" x14ac:dyDescent="0.25">
      <c r="A31" t="str">
        <f>Tabela1[[#This Row],[Ano]]&amp;"-"&amp;Tabela1[[#This Row],[Mês]]</f>
        <v>2027-mai</v>
      </c>
      <c r="B31">
        <v>2027</v>
      </c>
      <c r="C31" t="s">
        <v>15</v>
      </c>
      <c r="D31" s="22"/>
    </row>
    <row r="32" spans="1:4" x14ac:dyDescent="0.25">
      <c r="A32" t="str">
        <f>Tabela1[[#This Row],[Ano]]&amp;"-"&amp;Tabela1[[#This Row],[Mês]]</f>
        <v>2027-jun</v>
      </c>
      <c r="B32">
        <v>2027</v>
      </c>
      <c r="C32" t="s">
        <v>8</v>
      </c>
      <c r="D32" s="22"/>
    </row>
    <row r="33" spans="1:4" x14ac:dyDescent="0.25">
      <c r="A33" t="str">
        <f>Tabela1[[#This Row],[Ano]]&amp;"-"&amp;Tabela1[[#This Row],[Mês]]</f>
        <v>2027-jul</v>
      </c>
      <c r="B33">
        <v>2027</v>
      </c>
      <c r="C33" t="s">
        <v>9</v>
      </c>
      <c r="D33" s="22"/>
    </row>
    <row r="34" spans="1:4" x14ac:dyDescent="0.25">
      <c r="A34" t="str">
        <f>Tabela1[[#This Row],[Ano]]&amp;"-"&amp;Tabela1[[#This Row],[Mês]]</f>
        <v>2027-ago</v>
      </c>
      <c r="B34">
        <v>2027</v>
      </c>
      <c r="C34" t="s">
        <v>18</v>
      </c>
      <c r="D34" s="22"/>
    </row>
    <row r="35" spans="1:4" x14ac:dyDescent="0.25">
      <c r="A35" t="str">
        <f>Tabela1[[#This Row],[Ano]]&amp;"-"&amp;Tabela1[[#This Row],[Mês]]</f>
        <v>2027-set</v>
      </c>
      <c r="B35">
        <v>2027</v>
      </c>
      <c r="C35" t="s">
        <v>19</v>
      </c>
      <c r="D35" s="22"/>
    </row>
    <row r="36" spans="1:4" x14ac:dyDescent="0.25">
      <c r="A36" t="str">
        <f>Tabela1[[#This Row],[Ano]]&amp;"-"&amp;Tabela1[[#This Row],[Mês]]</f>
        <v>2027-out</v>
      </c>
      <c r="B36">
        <v>2027</v>
      </c>
      <c r="C36" t="s">
        <v>20</v>
      </c>
      <c r="D36" s="22"/>
    </row>
    <row r="37" spans="1:4" x14ac:dyDescent="0.25">
      <c r="A37" t="str">
        <f>Tabela1[[#This Row],[Ano]]&amp;"-"&amp;Tabela1[[#This Row],[Mês]]</f>
        <v>2027-nov</v>
      </c>
      <c r="B37">
        <v>2027</v>
      </c>
      <c r="C37" t="s">
        <v>21</v>
      </c>
      <c r="D37" s="22"/>
    </row>
    <row r="38" spans="1:4" x14ac:dyDescent="0.25">
      <c r="A38" t="str">
        <f>Tabela1[[#This Row],[Ano]]&amp;"-"&amp;Tabela1[[#This Row],[Mês]]</f>
        <v>2027-dez</v>
      </c>
      <c r="B38">
        <v>2027</v>
      </c>
      <c r="C38" t="s">
        <v>16</v>
      </c>
      <c r="D38" s="22"/>
    </row>
    <row r="39" spans="1:4" x14ac:dyDescent="0.25">
      <c r="A39" t="str">
        <f>Tabela1[[#This Row],[Ano]]&amp;"-"&amp;Tabela1[[#This Row],[Mês]]</f>
        <v>2028-jan</v>
      </c>
      <c r="B39">
        <v>2028</v>
      </c>
      <c r="C39" t="s">
        <v>11</v>
      </c>
      <c r="D39" s="22"/>
    </row>
    <row r="40" spans="1:4" x14ac:dyDescent="0.25">
      <c r="A40" t="str">
        <f>Tabela1[[#This Row],[Ano]]&amp;"-"&amp;Tabela1[[#This Row],[Mês]]</f>
        <v>2028-fev</v>
      </c>
      <c r="B40">
        <v>2028</v>
      </c>
      <c r="C40" t="s">
        <v>12</v>
      </c>
      <c r="D40" s="22"/>
    </row>
    <row r="41" spans="1:4" x14ac:dyDescent="0.25">
      <c r="A41" t="str">
        <f>Tabela1[[#This Row],[Ano]]&amp;"-"&amp;Tabela1[[#This Row],[Mês]]</f>
        <v>2028-mar</v>
      </c>
      <c r="B41">
        <v>2028</v>
      </c>
      <c r="C41" t="s">
        <v>13</v>
      </c>
      <c r="D41" s="22"/>
    </row>
    <row r="42" spans="1:4" x14ac:dyDescent="0.25">
      <c r="A42" t="str">
        <f>Tabela1[[#This Row],[Ano]]&amp;"-"&amp;Tabela1[[#This Row],[Mês]]</f>
        <v>2028-abr</v>
      </c>
      <c r="B42">
        <v>2028</v>
      </c>
      <c r="C42" t="s">
        <v>14</v>
      </c>
      <c r="D42" s="22"/>
    </row>
    <row r="43" spans="1:4" x14ac:dyDescent="0.25">
      <c r="A43" t="str">
        <f>Tabela1[[#This Row],[Ano]]&amp;"-"&amp;Tabela1[[#This Row],[Mês]]</f>
        <v>2028-mai</v>
      </c>
      <c r="B43">
        <v>2028</v>
      </c>
      <c r="C43" t="s">
        <v>15</v>
      </c>
      <c r="D43" s="22"/>
    </row>
    <row r="44" spans="1:4" x14ac:dyDescent="0.25">
      <c r="A44" t="str">
        <f>Tabela1[[#This Row],[Ano]]&amp;"-"&amp;Tabela1[[#This Row],[Mês]]</f>
        <v>2028-jun</v>
      </c>
      <c r="B44">
        <v>2028</v>
      </c>
      <c r="C44" t="s">
        <v>8</v>
      </c>
      <c r="D44" s="22"/>
    </row>
    <row r="45" spans="1:4" x14ac:dyDescent="0.25">
      <c r="A45" t="str">
        <f>Tabela1[[#This Row],[Ano]]&amp;"-"&amp;Tabela1[[#This Row],[Mês]]</f>
        <v>2028-jul</v>
      </c>
      <c r="B45">
        <v>2028</v>
      </c>
      <c r="C45" t="s">
        <v>9</v>
      </c>
      <c r="D45" s="22"/>
    </row>
    <row r="46" spans="1:4" x14ac:dyDescent="0.25">
      <c r="A46" t="str">
        <f>Tabela1[[#This Row],[Ano]]&amp;"-"&amp;Tabela1[[#This Row],[Mês]]</f>
        <v>2028-ago</v>
      </c>
      <c r="B46">
        <v>2028</v>
      </c>
      <c r="C46" t="s">
        <v>18</v>
      </c>
      <c r="D46" s="22"/>
    </row>
    <row r="47" spans="1:4" x14ac:dyDescent="0.25">
      <c r="A47" t="str">
        <f>Tabela1[[#This Row],[Ano]]&amp;"-"&amp;Tabela1[[#This Row],[Mês]]</f>
        <v>2028-set</v>
      </c>
      <c r="B47">
        <v>2028</v>
      </c>
      <c r="C47" t="s">
        <v>19</v>
      </c>
      <c r="D47" s="22"/>
    </row>
    <row r="48" spans="1:4" x14ac:dyDescent="0.25">
      <c r="A48" t="str">
        <f>Tabela1[[#This Row],[Ano]]&amp;"-"&amp;Tabela1[[#This Row],[Mês]]</f>
        <v>2028-out</v>
      </c>
      <c r="B48">
        <v>2028</v>
      </c>
      <c r="C48" t="s">
        <v>20</v>
      </c>
      <c r="D48" s="22"/>
    </row>
    <row r="49" spans="1:4" x14ac:dyDescent="0.25">
      <c r="A49" t="str">
        <f>Tabela1[[#This Row],[Ano]]&amp;"-"&amp;Tabela1[[#This Row],[Mês]]</f>
        <v>2028-nov</v>
      </c>
      <c r="B49">
        <v>2028</v>
      </c>
      <c r="C49" t="s">
        <v>21</v>
      </c>
      <c r="D49" s="22"/>
    </row>
    <row r="50" spans="1:4" x14ac:dyDescent="0.25">
      <c r="A50" t="str">
        <f>Tabela1[[#This Row],[Ano]]&amp;"-"&amp;Tabela1[[#This Row],[Mês]]</f>
        <v>2028-dez</v>
      </c>
      <c r="B50">
        <v>2028</v>
      </c>
      <c r="C50" t="s">
        <v>16</v>
      </c>
      <c r="D50" s="22"/>
    </row>
    <row r="51" spans="1:4" x14ac:dyDescent="0.25">
      <c r="A51" t="str">
        <f>Tabela1[[#This Row],[Ano]]&amp;"-"&amp;Tabela1[[#This Row],[Mês]]</f>
        <v>2029-jan</v>
      </c>
      <c r="B51">
        <v>2029</v>
      </c>
      <c r="C51" t="s">
        <v>11</v>
      </c>
      <c r="D51" s="22"/>
    </row>
    <row r="52" spans="1:4" x14ac:dyDescent="0.25">
      <c r="A52" t="str">
        <f>Tabela1[[#This Row],[Ano]]&amp;"-"&amp;Tabela1[[#This Row],[Mês]]</f>
        <v>2029-fev</v>
      </c>
      <c r="B52">
        <v>2029</v>
      </c>
      <c r="C52" t="s">
        <v>12</v>
      </c>
      <c r="D52" s="22"/>
    </row>
    <row r="53" spans="1:4" x14ac:dyDescent="0.25">
      <c r="A53" t="str">
        <f>Tabela1[[#This Row],[Ano]]&amp;"-"&amp;Tabela1[[#This Row],[Mês]]</f>
        <v>2029-mar</v>
      </c>
      <c r="B53">
        <v>2029</v>
      </c>
      <c r="C53" t="s">
        <v>13</v>
      </c>
      <c r="D53" s="22"/>
    </row>
    <row r="54" spans="1:4" x14ac:dyDescent="0.25">
      <c r="A54" t="str">
        <f>Tabela1[[#This Row],[Ano]]&amp;"-"&amp;Tabela1[[#This Row],[Mês]]</f>
        <v>2029-abr</v>
      </c>
      <c r="B54">
        <v>2029</v>
      </c>
      <c r="C54" t="s">
        <v>14</v>
      </c>
      <c r="D54" s="22"/>
    </row>
    <row r="55" spans="1:4" x14ac:dyDescent="0.25">
      <c r="A55" t="str">
        <f>Tabela1[[#This Row],[Ano]]&amp;"-"&amp;Tabela1[[#This Row],[Mês]]</f>
        <v>2029-mai</v>
      </c>
      <c r="B55">
        <v>2029</v>
      </c>
      <c r="C55" t="s">
        <v>15</v>
      </c>
      <c r="D55" s="22"/>
    </row>
    <row r="56" spans="1:4" x14ac:dyDescent="0.25">
      <c r="A56" t="str">
        <f>Tabela1[[#This Row],[Ano]]&amp;"-"&amp;Tabela1[[#This Row],[Mês]]</f>
        <v>2029-jun</v>
      </c>
      <c r="B56">
        <v>2029</v>
      </c>
      <c r="C56" t="s">
        <v>8</v>
      </c>
      <c r="D56" s="22"/>
    </row>
    <row r="57" spans="1:4" x14ac:dyDescent="0.25">
      <c r="A57" t="str">
        <f>Tabela1[[#This Row],[Ano]]&amp;"-"&amp;Tabela1[[#This Row],[Mês]]</f>
        <v>2029-jul</v>
      </c>
      <c r="B57">
        <v>2029</v>
      </c>
      <c r="C57" t="s">
        <v>9</v>
      </c>
      <c r="D57" s="22"/>
    </row>
    <row r="58" spans="1:4" x14ac:dyDescent="0.25">
      <c r="A58" t="str">
        <f>Tabela1[[#This Row],[Ano]]&amp;"-"&amp;Tabela1[[#This Row],[Mês]]</f>
        <v>2029-ago</v>
      </c>
      <c r="B58">
        <v>2029</v>
      </c>
      <c r="C58" t="s">
        <v>18</v>
      </c>
      <c r="D58" s="22"/>
    </row>
    <row r="59" spans="1:4" x14ac:dyDescent="0.25">
      <c r="A59" t="str">
        <f>Tabela1[[#This Row],[Ano]]&amp;"-"&amp;Tabela1[[#This Row],[Mês]]</f>
        <v>2029-set</v>
      </c>
      <c r="B59">
        <v>2029</v>
      </c>
      <c r="C59" t="s">
        <v>19</v>
      </c>
      <c r="D59" s="22"/>
    </row>
    <row r="60" spans="1:4" x14ac:dyDescent="0.25">
      <c r="A60" t="str">
        <f>Tabela1[[#This Row],[Ano]]&amp;"-"&amp;Tabela1[[#This Row],[Mês]]</f>
        <v>2029-out</v>
      </c>
      <c r="B60">
        <v>2029</v>
      </c>
      <c r="C60" t="s">
        <v>20</v>
      </c>
      <c r="D60" s="22"/>
    </row>
    <row r="61" spans="1:4" x14ac:dyDescent="0.25">
      <c r="A61" t="str">
        <f>Tabela1[[#This Row],[Ano]]&amp;"-"&amp;Tabela1[[#This Row],[Mês]]</f>
        <v>2029-nov</v>
      </c>
      <c r="B61">
        <v>2029</v>
      </c>
      <c r="C61" t="s">
        <v>21</v>
      </c>
      <c r="D61" s="22"/>
    </row>
    <row r="62" spans="1:4" x14ac:dyDescent="0.25">
      <c r="A62" t="str">
        <f>Tabela1[[#This Row],[Ano]]&amp;"-"&amp;Tabela1[[#This Row],[Mês]]</f>
        <v>2029-dez</v>
      </c>
      <c r="B62">
        <v>2029</v>
      </c>
      <c r="C62" t="s">
        <v>16</v>
      </c>
      <c r="D62" s="22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Lançamento Diário</vt:lpstr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2025-06-13T13:57:45Z</dcterms:created>
  <dcterms:modified xsi:type="dcterms:W3CDTF">2026-01-03T12:07:02Z</dcterms:modified>
</cp:coreProperties>
</file>